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11250-2026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46080</v>
      </c>
      <c r="E5" s="1" t="n">
        <v>46251</v>
      </c>
      <c r="F5" t="inlineStr">
        <is>
          <t>VÄSTRA GÖTALANDS LÄN</t>
        </is>
      </c>
      <c r="G5" t="inlineStr">
        <is>
          <t>TJÖRN</t>
        </is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HYPERLINK("https://klasma.github.io/Logging_1419/artfynd/A 11250-2026 artfynd.xlsx", "A 11250-2026")</f>
        <v/>
      </c>
      <c r="X5">
        <f>HYPERLINK("https://klasma.github.io/Logging_1419/kartor/A 11250-2026 karta.png", "A 11250-2026")</f>
        <v/>
      </c>
      <c r="Y5">
        <f>HYPERLINK("https://klasma.github.io/Logging_1419/kartor_geotiff/A 11250-2026 georefererad karta.tif", "A 11250-2026")</f>
        <v/>
      </c>
      <c r="AA5">
        <f>HYPERLINK("https://klasma.github.io/Logging_1419/klagomål/A 11250-2026 FSC-klagomål.docx", "A 11250-2026")</f>
        <v/>
      </c>
      <c r="AB5">
        <f>HYPERLINK("https://klasma.github.io/Logging_1419/klagomålsmail/A 11250-2026 FSC-klagomål mail.docx", "A 11250-2026")</f>
        <v/>
      </c>
      <c r="AC5">
        <f>HYPERLINK("https://klasma.github.io/Logging_1419/tillsyn/A 11250-2026 tillsynsbegäran.docx", "A 11250-2026")</f>
        <v/>
      </c>
      <c r="AD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46251</v>
      </c>
      <c r="F6" t="inlineStr">
        <is>
          <t>VÄSTRA GÖTALANDS LÄN</t>
        </is>
      </c>
      <c r="G6" t="inlineStr">
        <is>
          <t>TJÖRN</t>
        </is>
      </c>
      <c r="I6" t="n">
        <v>3.9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Strutbräken</t>
        </is>
      </c>
      <c r="W6">
        <f>HYPERLINK("https://klasma.github.io/Logging_1419/artfynd/A 11240-2026 artfynd.xlsx", "A 11240-2026")</f>
        <v/>
      </c>
      <c r="X6">
        <f>HYPERLINK("https://klasma.github.io/Logging_1419/kartor/A 11240-2026 karta.png", "A 11240-2026")</f>
        <v/>
      </c>
      <c r="Y6">
        <f>HYPERLINK("https://klasma.github.io/Logging_1419/kartor_geotiff/A 11240-2026 georefererad karta.tif", "A 11240-2026")</f>
        <v/>
      </c>
      <c r="AA6">
        <f>HYPERLINK("https://klasma.github.io/Logging_1419/klagomål/A 11240-2026 FSC-klagomål.docx", "A 11240-2026")</f>
        <v/>
      </c>
      <c r="AB6">
        <f>HYPERLINK("https://klasma.github.io/Logging_1419/klagomålsmail/A 11240-2026 FSC-klagomål mail.docx", "A 11240-2026")</f>
        <v/>
      </c>
      <c r="AC6">
        <f>HYPERLINK("https://klasma.github.io/Logging_1419/tillsyn/A 11240-2026 tillsynsbegäran.docx", "A 11240-2026")</f>
        <v/>
      </c>
      <c r="AD6">
        <f>HYPERLINK("https://klasma.github.io/Logging_1419/tillsynsmail/A 11240-2026 tillsynsbegäran mail.docx", "A 11240-2026")</f>
        <v/>
      </c>
    </row>
    <row r="7" ht="15" customHeight="1">
      <c r="A7" t="inlineStr">
        <is>
          <t>A 889-2026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46251</v>
      </c>
      <c r="F7" t="inlineStr">
        <is>
          <t>VÄSTRA GÖTALANDS LÄN</t>
        </is>
      </c>
      <c r="G7" t="inlineStr">
        <is>
          <t>TJÖRN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0</v>
      </c>
      <c r="V7" s="2" t="inlineStr">
        <is>
          <t>Äkta lopplummer</t>
        </is>
      </c>
      <c r="W7">
        <f>HYPERLINK("https://klasma.github.io/Logging_1419/artfynd/A 889-2026 artfynd.xlsx", "A 889-2026")</f>
        <v/>
      </c>
      <c r="X7">
        <f>HYPERLINK("https://klasma.github.io/Logging_1419/kartor/A 889-2026 karta.png", "A 889-2026")</f>
        <v/>
      </c>
      <c r="Y7">
        <f>HYPERLINK("https://klasma.github.io/Logging_1419/kartor_geotiff/A 889-2026 georefererad karta.tif", "A 889-2026")</f>
        <v/>
      </c>
      <c r="AA7">
        <f>HYPERLINK("https://klasma.github.io/Logging_1419/klagomål/A 889-2026 FSC-klagomål.docx", "A 889-2026")</f>
        <v/>
      </c>
      <c r="AB7">
        <f>HYPERLINK("https://klasma.github.io/Logging_1419/klagomålsmail/A 889-2026 FSC-klagomål mail.docx", "A 889-2026")</f>
        <v/>
      </c>
      <c r="AC7">
        <f>HYPERLINK("https://klasma.github.io/Logging_1419/tillsyn/A 889-2026 tillsynsbegäran.docx", "A 889-2026")</f>
        <v/>
      </c>
      <c r="AD7">
        <f>HYPERLINK("https://klasma.github.io/Logging_1419/tillsynsmail/A 889-2026 tillsynsbegäran mail.docx", "A 889-2026")</f>
        <v/>
      </c>
    </row>
    <row r="8" ht="15" customHeight="1">
      <c r="A8" t="inlineStr">
        <is>
          <t>A 10354-2026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46075</v>
      </c>
      <c r="E8" s="1" t="n">
        <v>46251</v>
      </c>
      <c r="F8" t="inlineStr">
        <is>
          <t>VÄSTRA GÖTALANDS LÄN</t>
        </is>
      </c>
      <c r="G8" t="inlineStr">
        <is>
          <t>TJÖRN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HYPERLINK("https://klasma.github.io/Logging_1419/artfynd/A 10354-2026 artfynd.xlsx", "A 10354-2026")</f>
        <v/>
      </c>
      <c r="X8">
        <f>HYPERLINK("https://klasma.github.io/Logging_1419/kartor/A 10354-2026 karta.png", "A 10354-2026")</f>
        <v/>
      </c>
      <c r="Y8">
        <f>HYPERLINK("https://klasma.github.io/Logging_1419/kartor_geotiff/A 10354-2026 georefererad karta.tif", "A 10354-2026")</f>
        <v/>
      </c>
      <c r="AA8">
        <f>HYPERLINK("https://klasma.github.io/Logging_1419/klagomål/A 10354-2026 FSC-klagomål.docx", "A 10354-2026")</f>
        <v/>
      </c>
      <c r="AB8">
        <f>HYPERLINK("https://klasma.github.io/Logging_1419/klagomålsmail/A 10354-2026 FSC-klagomål mail.docx", "A 10354-2026")</f>
        <v/>
      </c>
      <c r="AC8">
        <f>HYPERLINK("https://klasma.github.io/Logging_1419/tillsyn/A 10354-2026 tillsynsbegäran.docx", "A 10354-2026")</f>
        <v/>
      </c>
      <c r="AD8">
        <f>HYPERLINK("https://klasma.github.io/Logging_1419/tillsynsmail/A 10354-2026 tillsynsbegäran mail.docx", "A 10354-2026")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46251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63664-2023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46251</v>
      </c>
      <c r="F10" t="inlineStr">
        <is>
          <t>VÄSTRA GÖTALANDS LÄN</t>
        </is>
      </c>
      <c r="G10" t="inlineStr">
        <is>
          <t>TJÖRN</t>
        </is>
      </c>
      <c r="I10" t="n">
        <v>3.2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46251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46251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46251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46251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46251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46251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46251</v>
      </c>
      <c r="F17" t="inlineStr">
        <is>
          <t>VÄSTRA GÖTALANDS LÄN</t>
        </is>
      </c>
      <c r="G17" t="inlineStr">
        <is>
          <t>TJÖRN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46251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44896</v>
      </c>
      <c r="E19" s="1" t="n">
        <v>46251</v>
      </c>
      <c r="F19" t="inlineStr">
        <is>
          <t>VÄSTRA GÖTALANDS LÄN</t>
        </is>
      </c>
      <c r="G19" t="inlineStr">
        <is>
          <t>TJÖRN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57955-2024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45631</v>
      </c>
      <c r="E20" s="1" t="n">
        <v>46251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44931</v>
      </c>
      <c r="E21" s="1" t="n">
        <v>46251</v>
      </c>
      <c r="F21" t="inlineStr">
        <is>
          <t>VÄSTRA GÖTALANDS LÄN</t>
        </is>
      </c>
      <c r="G21" t="inlineStr">
        <is>
          <t>TJÖRN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46251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46251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46251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46251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46251</v>
      </c>
      <c r="F26" t="inlineStr">
        <is>
          <t>VÄSTRA GÖTALANDS LÄN</t>
        </is>
      </c>
      <c r="G26" t="inlineStr">
        <is>
          <t>TJÖRN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46251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46251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46251</v>
      </c>
      <c r="F29" t="inlineStr">
        <is>
          <t>VÄSTRA GÖTALANDS LÄN</t>
        </is>
      </c>
      <c r="G29" t="inlineStr">
        <is>
          <t>TJÖRN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46251</v>
      </c>
      <c r="F30" t="inlineStr">
        <is>
          <t>VÄSTRA GÖTALANDS LÄN</t>
        </is>
      </c>
      <c r="G30" t="inlineStr">
        <is>
          <t>TJÖRN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46251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46251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46251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46251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46154</v>
      </c>
      <c r="E35" s="1" t="n">
        <v>46251</v>
      </c>
      <c r="F35" t="inlineStr">
        <is>
          <t>VÄSTRA GÖTALANDS LÄN</t>
        </is>
      </c>
      <c r="G35" t="inlineStr">
        <is>
          <t>TJÖRN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46251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46251</v>
      </c>
      <c r="F37" t="inlineStr">
        <is>
          <t>VÄSTRA GÖTALANDS LÄN</t>
        </is>
      </c>
      <c r="G37" t="inlineStr">
        <is>
          <t>TJÖRN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46251</v>
      </c>
      <c r="F38" t="inlineStr">
        <is>
          <t>VÄSTRA GÖTALANDS LÄN</t>
        </is>
      </c>
      <c r="G38" t="inlineStr">
        <is>
          <t>TJÖRN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46251</v>
      </c>
      <c r="F39" t="inlineStr">
        <is>
          <t>VÄSTRA GÖTALANDS LÄN</t>
        </is>
      </c>
      <c r="G39" t="inlineStr">
        <is>
          <t>TJÖRN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45666</v>
      </c>
      <c r="E40" s="1" t="n">
        <v>46251</v>
      </c>
      <c r="F40" t="inlineStr">
        <is>
          <t>VÄSTRA GÖTALANDS LÄN</t>
        </is>
      </c>
      <c r="G40" t="inlineStr">
        <is>
          <t>TJÖRN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46251</v>
      </c>
      <c r="F41" t="inlineStr">
        <is>
          <t>VÄSTRA GÖTALANDS LÄN</t>
        </is>
      </c>
      <c r="G41" t="inlineStr">
        <is>
          <t>TJÖRN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46251</v>
      </c>
      <c r="F42" t="inlineStr">
        <is>
          <t>VÄSTRA GÖTALANDS LÄN</t>
        </is>
      </c>
      <c r="G42" t="inlineStr">
        <is>
          <t>TJÖRN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46251</v>
      </c>
      <c r="F43" t="inlineStr">
        <is>
          <t>VÄSTRA GÖTALANDS LÄN</t>
        </is>
      </c>
      <c r="G43" t="inlineStr">
        <is>
          <t>TJÖRN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45062</v>
      </c>
      <c r="E44" s="1" t="n">
        <v>46251</v>
      </c>
      <c r="F44" t="inlineStr">
        <is>
          <t>VÄSTRA GÖTALANDS LÄN</t>
        </is>
      </c>
      <c r="G44" t="inlineStr">
        <is>
          <t>TJÖRN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46251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46251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2026-08-17T01:48:45Z</dcterms:created>
  <dcterms:modified xmlns:dcterms="http://purl.org/dc/terms/" xmlns:xsi="http://www.w3.org/2001/XMLSchema-instance" xsi:type="dcterms:W3CDTF">2026-08-17T01:48:45Z</dcterms:modified>
</cp:coreProperties>
</file>