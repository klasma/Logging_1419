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22581-2025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45789</v>
      </c>
      <c r="E2" s="1" t="n">
        <v>46322</v>
      </c>
      <c r="F2" t="inlineStr">
        <is>
          <t>VÄSTRA GÖTALANDS LÄN</t>
        </is>
      </c>
      <c r="G2" t="inlineStr">
        <is>
          <t>TJÖRN</t>
        </is>
      </c>
      <c r="I2" t="n">
        <v>9.5</v>
      </c>
      <c r="J2" t="n">
        <v>15</v>
      </c>
      <c r="K2" t="n">
        <v>4</v>
      </c>
      <c r="L2" t="n">
        <v>7</v>
      </c>
      <c r="M2" t="n">
        <v>1</v>
      </c>
      <c r="N2" t="n">
        <v>0</v>
      </c>
      <c r="O2" t="n">
        <v>0</v>
      </c>
      <c r="P2" t="n">
        <v>0</v>
      </c>
      <c r="Q2" t="n">
        <v>8</v>
      </c>
      <c r="R2" t="n">
        <v>1</v>
      </c>
      <c r="S2" t="n">
        <v>21</v>
      </c>
      <c r="T2" t="n">
        <v>39</v>
      </c>
      <c r="U2" t="n">
        <v>39</v>
      </c>
      <c r="V2" s="2" t="inlineStr">
        <is>
          <t>Grönfink
Entita
Grönsångare
Mindre hackspett
Nordfladdermus
Tretåig hackspett
Vedskivlav
Älg
Blomkålssvamp
Igelkottsröksvamp
Klibbtickgnagare
Murgröna
Spillkråka
Gröngöling
Havsörn
Kungsfågel
Vattenfladdermus
Mindre vattensalamander
Vanlig groda
Vanlig padda
Lopplummer (aggregat)</t>
        </is>
      </c>
      <c r="W2">
        <f>HYPERLINK("https://klasma.github.io/Logging_1419/artfynd/A 22581-2025 artfynd.xlsx", "A 22581-2025")</f>
        <v/>
      </c>
      <c r="X2">
        <f>HYPERLINK("https://klasma.github.io/Logging_1419/kartor/A 22581-2025 karta.png", "A 22581-2025")</f>
        <v/>
      </c>
      <c r="Y2">
        <f>HYPERLINK("https://klasma.github.io/Logging_1419/kartor_geotiff/A 22581-2025 georefererad karta.tif", "A 22581-2025")</f>
        <v/>
      </c>
      <c r="AA2">
        <f>HYPERLINK("https://klasma.github.io/Logging_1419/klagomål/A 22581-2025 FSC-klagomål.docx", "A 22581-2025")</f>
        <v/>
      </c>
      <c r="AB2">
        <f>HYPERLINK("https://klasma.github.io/Logging_1419/klagomålsmail/A 22581-2025 FSC-klagomål mail.docx", "A 22581-2025")</f>
        <v/>
      </c>
      <c r="AC2">
        <f>HYPERLINK("https://klasma.github.io/Logging_1419/tillsyn/A 22581-2025 tillsynsbegäran.docx", "A 22581-2025")</f>
        <v/>
      </c>
      <c r="AD2">
        <f>HYPERLINK("https://klasma.github.io/Logging_1419/tillsynsmail/A 22581-2025 tillsynsbegäran mail.docx", "A 22581-2025")</f>
        <v/>
      </c>
      <c r="AE2">
        <f>HYPERLINK("https://klasma.github.io/Logging_1419/fåglar/A 22581-2025 prioriterade fågelarter.docx", "A 22581-2025")</f>
        <v/>
      </c>
    </row>
    <row r="3" ht="15" customHeight="1">
      <c r="A3" t="inlineStr">
        <is>
          <t>A 56290-2025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45974</v>
      </c>
      <c r="E3" s="1" t="n">
        <v>46322</v>
      </c>
      <c r="F3" t="inlineStr">
        <is>
          <t>VÄSTRA GÖTALANDS LÄN</t>
        </is>
      </c>
      <c r="G3" t="inlineStr">
        <is>
          <t>TJÖRN</t>
        </is>
      </c>
      <c r="I3" t="n">
        <v>8</v>
      </c>
      <c r="J3" t="n">
        <v>3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6</v>
      </c>
      <c r="T3" t="n">
        <v>11</v>
      </c>
      <c r="U3" t="n">
        <v>10</v>
      </c>
      <c r="V3" s="2" t="inlineStr">
        <is>
          <t>Mindre hackspett
Vedskivlav
Kambräken
Stor revmossa
Spillkråka
Revlummer</t>
        </is>
      </c>
      <c r="W3">
        <f>HYPERLINK("https://klasma.github.io/Logging_1419/artfynd/A 56290-2025 artfynd.xlsx", "A 56290-2025")</f>
        <v/>
      </c>
      <c r="X3">
        <f>HYPERLINK("https://klasma.github.io/Logging_1419/kartor/A 56290-2025 karta.png", "A 56290-2025")</f>
        <v/>
      </c>
      <c r="Y3">
        <f>HYPERLINK("https://klasma.github.io/Logging_1419/kartor_geotiff/A 56290-2025 georefererad karta.tif", "A 56290-2025")</f>
        <v/>
      </c>
      <c r="AA3">
        <f>HYPERLINK("https://klasma.github.io/Logging_1419/klagomål/A 56290-2025 FSC-klagomål.docx", "A 56290-2025")</f>
        <v/>
      </c>
      <c r="AB3">
        <f>HYPERLINK("https://klasma.github.io/Logging_1419/klagomålsmail/A 56290-2025 FSC-klagomål mail.docx", "A 56290-2025")</f>
        <v/>
      </c>
      <c r="AC3">
        <f>HYPERLINK("https://klasma.github.io/Logging_1419/tillsyn/A 56290-2025 tillsynsbegäran.docx", "A 56290-2025")</f>
        <v/>
      </c>
      <c r="AD3">
        <f>HYPERLINK("https://klasma.github.io/Logging_1419/tillsynsmail/A 56290-2025 tillsynsbegäran mail.docx", "A 56290-2025")</f>
        <v/>
      </c>
      <c r="AE3">
        <f>HYPERLINK("https://klasma.github.io/Logging_1419/fåglar/A 56290-2025 prioriterade fågelarter.docx", "A 56290-2025")</f>
        <v/>
      </c>
    </row>
    <row r="4" ht="15" customHeight="1">
      <c r="A4" t="inlineStr">
        <is>
          <t>A 61627-2024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45646</v>
      </c>
      <c r="E4" s="1" t="n">
        <v>46322</v>
      </c>
      <c r="F4" t="inlineStr">
        <is>
          <t>VÄSTRA GÖTALANDS LÄN</t>
        </is>
      </c>
      <c r="G4" t="inlineStr">
        <is>
          <t>TJÖRN</t>
        </is>
      </c>
      <c r="H4" t="inlineStr">
        <is>
          <t>Kommuner</t>
        </is>
      </c>
      <c r="I4" t="n">
        <v>2.1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2</v>
      </c>
      <c r="R4" t="n">
        <v>1</v>
      </c>
      <c r="S4" t="n">
        <v>2</v>
      </c>
      <c r="T4" t="n">
        <v>2</v>
      </c>
      <c r="U4" t="n">
        <v>0</v>
      </c>
      <c r="V4" s="2" t="inlineStr">
        <is>
          <t>Ask
Öring</t>
        </is>
      </c>
      <c r="W4">
        <f>HYPERLINK("https://klasma.github.io/Logging_1419/artfynd/A 61627-2024 artfynd.xlsx", "A 61627-2024")</f>
        <v/>
      </c>
      <c r="X4">
        <f>HYPERLINK("https://klasma.github.io/Logging_1419/kartor/A 61627-2024 karta.png", "A 61627-2024")</f>
        <v/>
      </c>
      <c r="Y4">
        <f>HYPERLINK("https://klasma.github.io/Logging_1419/kartor_geotiff/A 61627-2024 georefererad karta.tif", "A 61627-2024")</f>
        <v/>
      </c>
      <c r="AA4">
        <f>HYPERLINK("https://klasma.github.io/Logging_1419/klagomål/A 61627-2024 FSC-klagomål.docx", "A 61627-2024")</f>
        <v/>
      </c>
      <c r="AB4">
        <f>HYPERLINK("https://klasma.github.io/Logging_1419/klagomålsmail/A 61627-2024 FSC-klagomål mail.docx", "A 61627-2024")</f>
        <v/>
      </c>
      <c r="AC4">
        <f>HYPERLINK("https://klasma.github.io/Logging_1419/tillsyn/A 61627-2024 tillsynsbegäran.docx", "A 61627-2024")</f>
        <v/>
      </c>
      <c r="AD4">
        <f>HYPERLINK("https://klasma.github.io/Logging_1419/tillsynsmail/A 61627-2024 tillsynsbegäran mail.docx", "A 61627-2024")</f>
        <v/>
      </c>
    </row>
    <row r="5" ht="15" customHeight="1">
      <c r="A5" t="inlineStr">
        <is>
          <t>A 889-2026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46029</v>
      </c>
      <c r="E5" s="1" t="n">
        <v>46322</v>
      </c>
      <c r="F5" t="inlineStr">
        <is>
          <t>VÄSTRA GÖTALANDS LÄN</t>
        </is>
      </c>
      <c r="G5" t="inlineStr">
        <is>
          <t>TJÖRN</t>
        </is>
      </c>
      <c r="I5" t="n">
        <v>1.1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2</v>
      </c>
      <c r="U5" t="n">
        <v>0</v>
      </c>
      <c r="V5" s="2" t="inlineStr">
        <is>
          <t>Äkta lopplummer</t>
        </is>
      </c>
      <c r="W5">
        <f>HYPERLINK("https://klasma.github.io/Logging_1419/artfynd/A 889-2026 artfynd.xlsx", "A 889-2026")</f>
        <v/>
      </c>
      <c r="X5">
        <f>HYPERLINK("https://klasma.github.io/Logging_1419/kartor/A 889-2026 karta.png", "A 889-2026")</f>
        <v/>
      </c>
      <c r="Y5">
        <f>HYPERLINK("https://klasma.github.io/Logging_1419/kartor_geotiff/A 889-2026 georefererad karta.tif", "A 889-2026")</f>
        <v/>
      </c>
      <c r="AA5">
        <f>HYPERLINK("https://klasma.github.io/Logging_1419/klagomål/A 889-2026 FSC-klagomål.docx", "A 889-2026")</f>
        <v/>
      </c>
      <c r="AB5">
        <f>HYPERLINK("https://klasma.github.io/Logging_1419/klagomålsmail/A 889-2026 FSC-klagomål mail.docx", "A 889-2026")</f>
        <v/>
      </c>
      <c r="AC5">
        <f>HYPERLINK("https://klasma.github.io/Logging_1419/tillsyn/A 889-2026 tillsynsbegäran.docx", "A 889-2026")</f>
        <v/>
      </c>
      <c r="AD5">
        <f>HYPERLINK("https://klasma.github.io/Logging_1419/tillsynsmail/A 889-2026 tillsynsbegäran mail.docx", "A 889-2026")</f>
        <v/>
      </c>
    </row>
    <row r="6" ht="15" customHeight="1">
      <c r="A6" t="inlineStr">
        <is>
          <t>A 34591-2022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44795</v>
      </c>
      <c r="E6" s="1" t="n">
        <v>46322</v>
      </c>
      <c r="F6" t="inlineStr">
        <is>
          <t>VÄSTRA GÖTALANDS LÄN</t>
        </is>
      </c>
      <c r="G6" t="inlineStr">
        <is>
          <t>TJÖRN</t>
        </is>
      </c>
      <c r="I6" t="n">
        <v>2.5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s="2" t="inlineStr">
        <is>
          <t>Blågrönt mannagräs</t>
        </is>
      </c>
      <c r="W6">
        <f>HYPERLINK("https://klasma.github.io/Logging_1419/artfynd/A 34591-2022 artfynd.xlsx", "A 34591-2022")</f>
        <v/>
      </c>
      <c r="X6">
        <f>HYPERLINK("https://klasma.github.io/Logging_1419/kartor/A 34591-2022 karta.png", "A 34591-2022")</f>
        <v/>
      </c>
      <c r="Y6">
        <f>HYPERLINK("https://klasma.github.io/Logging_1419/kartor_geotiff/A 34591-2022 georefererad karta.tif", "A 34591-2022")</f>
        <v/>
      </c>
      <c r="AA6">
        <f>HYPERLINK("https://klasma.github.io/Logging_1419/klagomål/A 34591-2022 FSC-klagomål.docx", "A 34591-2022")</f>
        <v/>
      </c>
      <c r="AB6">
        <f>HYPERLINK("https://klasma.github.io/Logging_1419/klagomålsmail/A 34591-2022 FSC-klagomål mail.docx", "A 34591-2022")</f>
        <v/>
      </c>
      <c r="AC6">
        <f>HYPERLINK("https://klasma.github.io/Logging_1419/tillsyn/A 34591-2022 tillsynsbegäran.docx", "A 34591-2022")</f>
        <v/>
      </c>
      <c r="AD6">
        <f>HYPERLINK("https://klasma.github.io/Logging_1419/tillsynsmail/A 34591-2022 tillsynsbegäran mail.docx", "A 34591-2022")</f>
        <v/>
      </c>
    </row>
    <row r="7" ht="15" customHeight="1">
      <c r="A7" t="inlineStr">
        <is>
          <t>A 10354-2026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46075</v>
      </c>
      <c r="E7" s="1" t="n">
        <v>46322</v>
      </c>
      <c r="F7" t="inlineStr">
        <is>
          <t>VÄSTRA GÖTALANDS LÄN</t>
        </is>
      </c>
      <c r="G7" t="inlineStr">
        <is>
          <t>TJÖRN</t>
        </is>
      </c>
      <c r="I7" t="n">
        <v>0.7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s="2" t="inlineStr">
        <is>
          <t>Slåttergubbe</t>
        </is>
      </c>
      <c r="W7">
        <f>HYPERLINK("https://klasma.github.io/Logging_1419/artfynd/A 10354-2026 artfynd.xlsx", "A 10354-2026")</f>
        <v/>
      </c>
      <c r="X7">
        <f>HYPERLINK("https://klasma.github.io/Logging_1419/kartor/A 10354-2026 karta.png", "A 10354-2026")</f>
        <v/>
      </c>
      <c r="Y7">
        <f>HYPERLINK("https://klasma.github.io/Logging_1419/kartor_geotiff/A 10354-2026 georefererad karta.tif", "A 10354-2026")</f>
        <v/>
      </c>
      <c r="AA7">
        <f>HYPERLINK("https://klasma.github.io/Logging_1419/klagomål/A 10354-2026 FSC-klagomål.docx", "A 10354-2026")</f>
        <v/>
      </c>
      <c r="AB7">
        <f>HYPERLINK("https://klasma.github.io/Logging_1419/klagomålsmail/A 10354-2026 FSC-klagomål mail.docx", "A 10354-2026")</f>
        <v/>
      </c>
      <c r="AC7">
        <f>HYPERLINK("https://klasma.github.io/Logging_1419/tillsyn/A 10354-2026 tillsynsbegäran.docx", "A 10354-2026")</f>
        <v/>
      </c>
      <c r="AD7">
        <f>HYPERLINK("https://klasma.github.io/Logging_1419/tillsynsmail/A 10354-2026 tillsynsbegäran mail.docx", "A 10354-2026")</f>
        <v/>
      </c>
    </row>
    <row r="8" ht="15" customHeight="1">
      <c r="A8" t="inlineStr">
        <is>
          <t>A 11250-2026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46080</v>
      </c>
      <c r="E8" s="1" t="n">
        <v>46322</v>
      </c>
      <c r="F8" t="inlineStr">
        <is>
          <t>VÄSTRA GÖTALANDS LÄN</t>
        </is>
      </c>
      <c r="G8" t="inlineStr">
        <is>
          <t>TJÖRN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s="2" t="inlineStr">
        <is>
          <t>Blåsippa</t>
        </is>
      </c>
      <c r="W8">
        <f>HYPERLINK("https://klasma.github.io/Logging_1419/artfynd/A 11250-2026 artfynd.xlsx", "A 11250-2026")</f>
        <v/>
      </c>
      <c r="X8">
        <f>HYPERLINK("https://klasma.github.io/Logging_1419/kartor/A 11250-2026 karta.png", "A 11250-2026")</f>
        <v/>
      </c>
      <c r="Y8">
        <f>HYPERLINK("https://klasma.github.io/Logging_1419/kartor_geotiff/A 11250-2026 georefererad karta.tif", "A 11250-2026")</f>
        <v/>
      </c>
      <c r="AA8">
        <f>HYPERLINK("https://klasma.github.io/Logging_1419/klagomål/A 11250-2026 FSC-klagomål.docx", "A 11250-2026")</f>
        <v/>
      </c>
      <c r="AB8">
        <f>HYPERLINK("https://klasma.github.io/Logging_1419/klagomålsmail/A 11250-2026 FSC-klagomål mail.docx", "A 11250-2026")</f>
        <v/>
      </c>
      <c r="AC8">
        <f>HYPERLINK("https://klasma.github.io/Logging_1419/tillsyn/A 11250-2026 tillsynsbegäran.docx", "A 11250-2026")</f>
        <v/>
      </c>
      <c r="AD8">
        <f>HYPERLINK("https://klasma.github.io/Logging_1419/tillsynsmail/A 11250-2026 tillsynsbegäran mail.docx", "A 11250-2026")</f>
        <v/>
      </c>
    </row>
    <row r="9" ht="15" customHeight="1">
      <c r="A9" t="inlineStr">
        <is>
          <t>A 11240-2026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46080</v>
      </c>
      <c r="E9" s="1" t="n">
        <v>46322</v>
      </c>
      <c r="F9" t="inlineStr">
        <is>
          <t>VÄSTRA GÖTALANDS LÄN</t>
        </is>
      </c>
      <c r="G9" t="inlineStr">
        <is>
          <t>TJÖRN</t>
        </is>
      </c>
      <c r="I9" t="n">
        <v>3.9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s="2" t="inlineStr">
        <is>
          <t>Strutbräken</t>
        </is>
      </c>
      <c r="W9">
        <f>HYPERLINK("https://klasma.github.io/Logging_1419/artfynd/A 11240-2026 artfynd.xlsx", "A 11240-2026")</f>
        <v/>
      </c>
      <c r="X9">
        <f>HYPERLINK("https://klasma.github.io/Logging_1419/kartor/A 11240-2026 karta.png", "A 11240-2026")</f>
        <v/>
      </c>
      <c r="Y9">
        <f>HYPERLINK("https://klasma.github.io/Logging_1419/kartor_geotiff/A 11240-2026 georefererad karta.tif", "A 11240-2026")</f>
        <v/>
      </c>
      <c r="AA9">
        <f>HYPERLINK("https://klasma.github.io/Logging_1419/klagomål/A 11240-2026 FSC-klagomål.docx", "A 11240-2026")</f>
        <v/>
      </c>
      <c r="AB9">
        <f>HYPERLINK("https://klasma.github.io/Logging_1419/klagomålsmail/A 11240-2026 FSC-klagomål mail.docx", "A 11240-2026")</f>
        <v/>
      </c>
      <c r="AC9">
        <f>HYPERLINK("https://klasma.github.io/Logging_1419/tillsyn/A 11240-2026 tillsynsbegäran.docx", "A 11240-2026")</f>
        <v/>
      </c>
      <c r="AD9">
        <f>HYPERLINK("https://klasma.github.io/Logging_1419/tillsynsmail/A 11240-2026 tillsynsbegäran mail.docx", "A 11240-2026")</f>
        <v/>
      </c>
    </row>
    <row r="10" ht="15" customHeight="1">
      <c r="A10" t="inlineStr">
        <is>
          <t>A 42462-2025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45905</v>
      </c>
      <c r="E10" s="1" t="n">
        <v>46322</v>
      </c>
      <c r="F10" t="inlineStr">
        <is>
          <t>VÄSTRA GÖTALANDS LÄN</t>
        </is>
      </c>
      <c r="G10" t="inlineStr">
        <is>
          <t>TJÖRN</t>
        </is>
      </c>
      <c r="I10" t="n">
        <v>2.3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45167-2025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45919</v>
      </c>
      <c r="E11" s="1" t="n">
        <v>46322</v>
      </c>
      <c r="F11" t="inlineStr">
        <is>
          <t>VÄSTRA GÖTALANDS LÄN</t>
        </is>
      </c>
      <c r="G11" t="inlineStr">
        <is>
          <t>TJÖRN</t>
        </is>
      </c>
      <c r="I11" t="n">
        <v>0.6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45088-2025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45919</v>
      </c>
      <c r="E12" s="1" t="n">
        <v>46322</v>
      </c>
      <c r="F12" t="inlineStr">
        <is>
          <t>VÄSTRA GÖTALANDS LÄN</t>
        </is>
      </c>
      <c r="G12" t="inlineStr">
        <is>
          <t>TJÖRN</t>
        </is>
      </c>
      <c r="I12" t="n">
        <v>0.9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45158-2025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45919</v>
      </c>
      <c r="E13" s="1" t="n">
        <v>46322</v>
      </c>
      <c r="F13" t="inlineStr">
        <is>
          <t>VÄSTRA GÖTALANDS LÄN</t>
        </is>
      </c>
      <c r="G13" t="inlineStr">
        <is>
          <t>TJÖRN</t>
        </is>
      </c>
      <c r="I13" t="n">
        <v>2.7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57955-2024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45631</v>
      </c>
      <c r="E14" s="1" t="n">
        <v>46322</v>
      </c>
      <c r="F14" t="inlineStr">
        <is>
          <t>VÄSTRA GÖTALANDS LÄN</t>
        </is>
      </c>
      <c r="G14" t="inlineStr">
        <is>
          <t>TJÖRN</t>
        </is>
      </c>
      <c r="I14" t="n">
        <v>0.9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1379-2024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45303</v>
      </c>
      <c r="E15" s="1" t="n">
        <v>46322</v>
      </c>
      <c r="F15" t="inlineStr">
        <is>
          <t>VÄSTRA GÖTALANDS LÄN</t>
        </is>
      </c>
      <c r="G15" t="inlineStr">
        <is>
          <t>TJÖRN</t>
        </is>
      </c>
      <c r="H15" t="inlineStr">
        <is>
          <t>Kommuner</t>
        </is>
      </c>
      <c r="I15" t="n">
        <v>1.5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57000-2025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45977</v>
      </c>
      <c r="E16" s="1" t="n">
        <v>46322</v>
      </c>
      <c r="F16" t="inlineStr">
        <is>
          <t>VÄSTRA GÖTALANDS LÄN</t>
        </is>
      </c>
      <c r="G16" t="inlineStr">
        <is>
          <t>TJÖRN</t>
        </is>
      </c>
      <c r="I16" t="n">
        <v>2.3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57655-2025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45981</v>
      </c>
      <c r="E17" s="1" t="n">
        <v>46322</v>
      </c>
      <c r="F17" t="inlineStr">
        <is>
          <t>VÄSTRA GÖTALANDS LÄN</t>
        </is>
      </c>
      <c r="G17" t="inlineStr">
        <is>
          <t>TJÖRN</t>
        </is>
      </c>
      <c r="I17" t="n">
        <v>3.4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23301-2025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45791</v>
      </c>
      <c r="E18" s="1" t="n">
        <v>46322</v>
      </c>
      <c r="F18" t="inlineStr">
        <is>
          <t>VÄSTRA GÖTALANDS LÄN</t>
        </is>
      </c>
      <c r="G18" t="inlineStr">
        <is>
          <t>TJÖRN</t>
        </is>
      </c>
      <c r="I18" t="n">
        <v>2.9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1103-2025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45666</v>
      </c>
      <c r="E19" s="1" t="n">
        <v>46322</v>
      </c>
      <c r="F19" t="inlineStr">
        <is>
          <t>VÄSTRA GÖTALANDS LÄN</t>
        </is>
      </c>
      <c r="G19" t="inlineStr">
        <is>
          <t>TJÖRN</t>
        </is>
      </c>
      <c r="I19" t="n">
        <v>1.6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2433-2026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46036</v>
      </c>
      <c r="E20" s="1" t="n">
        <v>46322</v>
      </c>
      <c r="F20" t="inlineStr">
        <is>
          <t>VÄSTRA GÖTALANDS LÄN</t>
        </is>
      </c>
      <c r="G20" t="inlineStr">
        <is>
          <t>TJÖRN</t>
        </is>
      </c>
      <c r="I20" t="n">
        <v>2.6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2434-2026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46036</v>
      </c>
      <c r="E21" s="1" t="n">
        <v>46322</v>
      </c>
      <c r="F21" t="inlineStr">
        <is>
          <t>VÄSTRA GÖTALANDS LÄN</t>
        </is>
      </c>
      <c r="G21" t="inlineStr">
        <is>
          <t>TJÖRN</t>
        </is>
      </c>
      <c r="I21" t="n">
        <v>1.2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10340-2026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46075</v>
      </c>
      <c r="E22" s="1" t="n">
        <v>46322</v>
      </c>
      <c r="F22" t="inlineStr">
        <is>
          <t>VÄSTRA GÖTALANDS LÄN</t>
        </is>
      </c>
      <c r="G22" t="inlineStr">
        <is>
          <t>TJÖRN</t>
        </is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60718-2022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44912</v>
      </c>
      <c r="E23" s="1" t="n">
        <v>46322</v>
      </c>
      <c r="F23" t="inlineStr">
        <is>
          <t>VÄSTRA GÖTALANDS LÄN</t>
        </is>
      </c>
      <c r="G23" t="inlineStr">
        <is>
          <t>TJÖRN</t>
        </is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23295-2025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45791</v>
      </c>
      <c r="E24" s="1" t="n">
        <v>46322</v>
      </c>
      <c r="F24" t="inlineStr">
        <is>
          <t>VÄSTRA GÖTALANDS LÄN</t>
        </is>
      </c>
      <c r="G24" t="inlineStr">
        <is>
          <t>TJÖRN</t>
        </is>
      </c>
      <c r="I24" t="n">
        <v>2.2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21141-2023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45062</v>
      </c>
      <c r="E25" s="1" t="n">
        <v>46322</v>
      </c>
      <c r="F25" t="inlineStr">
        <is>
          <t>VÄSTRA GÖTALANDS LÄN</t>
        </is>
      </c>
      <c r="G25" t="inlineStr">
        <is>
          <t>TJÖRN</t>
        </is>
      </c>
      <c r="I25" t="n">
        <v>3.4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60392-2022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44910</v>
      </c>
      <c r="E26" s="1" t="n">
        <v>46322</v>
      </c>
      <c r="F26" t="inlineStr">
        <is>
          <t>VÄSTRA GÖTALANDS LÄN</t>
        </is>
      </c>
      <c r="G26" t="inlineStr">
        <is>
          <t>TJÖRN</t>
        </is>
      </c>
      <c r="I26" t="n">
        <v>4.1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21379-2023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45063</v>
      </c>
      <c r="E27" s="1" t="n">
        <v>46322</v>
      </c>
      <c r="F27" t="inlineStr">
        <is>
          <t>VÄSTRA GÖTALANDS LÄN</t>
        </is>
      </c>
      <c r="G27" t="inlineStr">
        <is>
          <t>TJÖRN</t>
        </is>
      </c>
      <c r="I27" t="n">
        <v>5.8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37962-2026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46280</v>
      </c>
      <c r="E28" s="1" t="n">
        <v>46322</v>
      </c>
      <c r="F28" t="inlineStr">
        <is>
          <t>VÄSTRA GÖTALANDS LÄN</t>
        </is>
      </c>
      <c r="G28" t="inlineStr">
        <is>
          <t>TJÖRN</t>
        </is>
      </c>
      <c r="I28" t="n">
        <v>2.9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18290-2026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46126</v>
      </c>
      <c r="E29" s="1" t="n">
        <v>46322</v>
      </c>
      <c r="F29" t="inlineStr">
        <is>
          <t>VÄSTRA GÖTALANDS LÄN</t>
        </is>
      </c>
      <c r="G29" t="inlineStr">
        <is>
          <t>TJÖRN</t>
        </is>
      </c>
      <c r="I29" t="n">
        <v>4.7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38523-2026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46283</v>
      </c>
      <c r="E30" s="1" t="n">
        <v>46322</v>
      </c>
      <c r="F30" t="inlineStr">
        <is>
          <t>VÄSTRA GÖTALANDS LÄN</t>
        </is>
      </c>
      <c r="G30" t="inlineStr">
        <is>
          <t>TJÖRN</t>
        </is>
      </c>
      <c r="I30" t="n">
        <v>1.2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7787-2023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44973</v>
      </c>
      <c r="E31" s="1" t="n">
        <v>46322</v>
      </c>
      <c r="F31" t="inlineStr">
        <is>
          <t>VÄSTRA GÖTALANDS LÄN</t>
        </is>
      </c>
      <c r="G31" t="inlineStr">
        <is>
          <t>TJÖRN</t>
        </is>
      </c>
      <c r="I31" t="n">
        <v>5.7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23294-2025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45791</v>
      </c>
      <c r="E32" s="1" t="n">
        <v>46322</v>
      </c>
      <c r="F32" t="inlineStr">
        <is>
          <t>VÄSTRA GÖTALANDS LÄN</t>
        </is>
      </c>
      <c r="G32" t="inlineStr">
        <is>
          <t>TJÖRN</t>
        </is>
      </c>
      <c r="I32" t="n">
        <v>4.6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33335-2026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46246</v>
      </c>
      <c r="E33" s="1" t="n">
        <v>46322</v>
      </c>
      <c r="F33" t="inlineStr">
        <is>
          <t>VÄSTRA GÖTALANDS LÄN</t>
        </is>
      </c>
      <c r="G33" t="inlineStr">
        <is>
          <t>TJÖRN</t>
        </is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60717-2022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44912</v>
      </c>
      <c r="E34" s="1" t="n">
        <v>46322</v>
      </c>
      <c r="F34" t="inlineStr">
        <is>
          <t>VÄSTRA GÖTALANDS LÄN</t>
        </is>
      </c>
      <c r="G34" t="inlineStr">
        <is>
          <t>TJÖRN</t>
        </is>
      </c>
      <c r="I34" t="n">
        <v>0.7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22419-2026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46154</v>
      </c>
      <c r="E35" s="1" t="n">
        <v>46322</v>
      </c>
      <c r="F35" t="inlineStr">
        <is>
          <t>VÄSTRA GÖTALANDS LÄN</t>
        </is>
      </c>
      <c r="G35" t="inlineStr">
        <is>
          <t>TJÖRN</t>
        </is>
      </c>
      <c r="I35" t="n">
        <v>7.3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59192-2022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44896</v>
      </c>
      <c r="E36" s="1" t="n">
        <v>46322</v>
      </c>
      <c r="F36" t="inlineStr">
        <is>
          <t>VÄSTRA GÖTALANDS LÄN</t>
        </is>
      </c>
      <c r="G36" t="inlineStr">
        <is>
          <t>TJÖRN</t>
        </is>
      </c>
      <c r="I36" t="n">
        <v>1.5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33757-2026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46251</v>
      </c>
      <c r="E37" s="1" t="n">
        <v>46322</v>
      </c>
      <c r="F37" t="inlineStr">
        <is>
          <t>VÄSTRA GÖTALANDS LÄN</t>
        </is>
      </c>
      <c r="G37" t="inlineStr">
        <is>
          <t>TJÖRN</t>
        </is>
      </c>
      <c r="I37" t="n">
        <v>7.7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7791-2023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44973</v>
      </c>
      <c r="E38" s="1" t="n">
        <v>46322</v>
      </c>
      <c r="F38" t="inlineStr">
        <is>
          <t>VÄSTRA GÖTALANDS LÄN</t>
        </is>
      </c>
      <c r="G38" t="inlineStr">
        <is>
          <t>TJÖRN</t>
        </is>
      </c>
      <c r="I38" t="n">
        <v>3.1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1486-2023</t>
        </is>
      </c>
      <c r="B39" t="inlineStr">
        <is>
          <t>avverkningsanmälan</t>
        </is>
      </c>
      <c r="C39" t="inlineStr">
        <is>
          <t>Avverkning för annat ändamål</t>
        </is>
      </c>
      <c r="D39" s="1" t="n">
        <v>44937</v>
      </c>
      <c r="E39" s="1" t="n">
        <v>46322</v>
      </c>
      <c r="F39" t="inlineStr">
        <is>
          <t>VÄSTRA GÖTALANDS LÄN</t>
        </is>
      </c>
      <c r="G39" t="inlineStr">
        <is>
          <t>TJÖRN</t>
        </is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60793-2023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45260</v>
      </c>
      <c r="E40" s="1" t="n">
        <v>46322</v>
      </c>
      <c r="F40" t="inlineStr">
        <is>
          <t>VÄSTRA GÖTALANDS LÄN</t>
        </is>
      </c>
      <c r="G40" t="inlineStr">
        <is>
          <t>TJÖRN</t>
        </is>
      </c>
      <c r="I40" t="n">
        <v>0.7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34198-2026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46253</v>
      </c>
      <c r="E41" s="1" t="n">
        <v>46322</v>
      </c>
      <c r="F41" t="inlineStr">
        <is>
          <t>VÄSTRA GÖTALANDS LÄN</t>
        </is>
      </c>
      <c r="G41" t="inlineStr">
        <is>
          <t>TJÖRN</t>
        </is>
      </c>
      <c r="I41" t="n">
        <v>1.4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57410-2022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44896</v>
      </c>
      <c r="E42" s="1" t="n">
        <v>46322</v>
      </c>
      <c r="F42" t="inlineStr">
        <is>
          <t>VÄSTRA GÖTALANDS LÄN</t>
        </is>
      </c>
      <c r="G42" t="inlineStr">
        <is>
          <t>TJÖRN</t>
        </is>
      </c>
      <c r="I42" t="n">
        <v>7.5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34508-2025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45847</v>
      </c>
      <c r="E43" s="1" t="n">
        <v>46322</v>
      </c>
      <c r="F43" t="inlineStr">
        <is>
          <t>VÄSTRA GÖTALANDS LÄN</t>
        </is>
      </c>
      <c r="G43" t="inlineStr">
        <is>
          <t>TJÖRN</t>
        </is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41950-2026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46303</v>
      </c>
      <c r="E44" s="1" t="n">
        <v>46322</v>
      </c>
      <c r="F44" t="inlineStr">
        <is>
          <t>VÄSTRA GÖTALANDS LÄN</t>
        </is>
      </c>
      <c r="G44" t="inlineStr">
        <is>
          <t>TJÖRN</t>
        </is>
      </c>
      <c r="I44" t="n">
        <v>1.3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41052-2026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46300</v>
      </c>
      <c r="E45" s="1" t="n">
        <v>46322</v>
      </c>
      <c r="F45" t="inlineStr">
        <is>
          <t>VÄSTRA GÖTALANDS LÄN</t>
        </is>
      </c>
      <c r="G45" t="inlineStr">
        <is>
          <t>TJÖRN</t>
        </is>
      </c>
      <c r="I45" t="n">
        <v>1.5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11042-2026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46079</v>
      </c>
      <c r="E46" s="1" t="n">
        <v>46322</v>
      </c>
      <c r="F46" t="inlineStr">
        <is>
          <t>VÄSTRA GÖTALANDS LÄN</t>
        </is>
      </c>
      <c r="G46" t="inlineStr">
        <is>
          <t>TJÖRN</t>
        </is>
      </c>
      <c r="I46" t="n">
        <v>1.4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37468-2026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46275</v>
      </c>
      <c r="E47" s="1" t="n">
        <v>46322</v>
      </c>
      <c r="F47" t="inlineStr">
        <is>
          <t>VÄSTRA GÖTALANDS LÄN</t>
        </is>
      </c>
      <c r="G47" t="inlineStr">
        <is>
          <t>TJÖRN</t>
        </is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37470-2026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46275</v>
      </c>
      <c r="E48" s="1" t="n">
        <v>46322</v>
      </c>
      <c r="F48" t="inlineStr">
        <is>
          <t>VÄSTRA GÖTALANDS LÄN</t>
        </is>
      </c>
      <c r="G48" t="inlineStr">
        <is>
          <t>TJÖRN</t>
        </is>
      </c>
      <c r="I48" t="n">
        <v>0.9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37741-2026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46279</v>
      </c>
      <c r="E49" s="1" t="n">
        <v>46322</v>
      </c>
      <c r="F49" t="inlineStr">
        <is>
          <t>VÄSTRA GÖTALANDS LÄN</t>
        </is>
      </c>
      <c r="G49" t="inlineStr">
        <is>
          <t>TJÖRN</t>
        </is>
      </c>
      <c r="I49" t="n">
        <v>1.9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>
      <c r="A50" t="inlineStr">
        <is>
          <t>A 59011-2025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45987</v>
      </c>
      <c r="E50" s="1" t="n">
        <v>46322</v>
      </c>
      <c r="F50" t="inlineStr">
        <is>
          <t>VÄSTRA GÖTALANDS LÄN</t>
        </is>
      </c>
      <c r="G50" t="inlineStr">
        <is>
          <t>TJÖRN</t>
        </is>
      </c>
      <c r="I50" t="n">
        <v>2.7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2026-10-27T03:10:04Z</dcterms:created>
  <dcterms:modified xmlns:dcterms="http://purl.org/dc/terms/" xmlns:xsi="http://www.w3.org/2001/XMLSchema-instance" xsi:type="dcterms:W3CDTF">2026-10-27T03:10:04Z</dcterms:modified>
</cp:coreProperties>
</file>