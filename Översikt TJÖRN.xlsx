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</v>
      </c>
      <c r="C2" s="1" t="n">
        <v>46192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12</v>
      </c>
      <c r="I2" t="n">
        <v>4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Grönfink
Entita
Mindre hackspett
Tretåig hackspett
Vedskivlav
Blomkålssvamp
Igelkottsröksvamp
Klibbtickgnagare
Murgröna
Spillkråka
Gröngöling
Havsörn
Kungsfågel
Mindre vattensalamander
Vanlig groda
Vanlig padda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</v>
      </c>
      <c r="C3" s="1" t="n">
        <v>46192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Mindre hackspett
Vedskivlav
Kambräken
Stor revmossa
Spillkråka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s="1" t="n">
        <v>45646</v>
      </c>
      <c r="C4" s="1" t="n">
        <v>46192</v>
      </c>
      <c r="D4" t="inlineStr">
        <is>
          <t>VÄSTRA GÖTALANDS LÄN</t>
        </is>
      </c>
      <c r="E4" t="inlineStr">
        <is>
          <t>TJÖRN</t>
        </is>
      </c>
      <c r="F4" t="inlineStr">
        <is>
          <t>Kommuner</t>
        </is>
      </c>
      <c r="G4" t="n">
        <v>2.1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Öring</t>
        </is>
      </c>
      <c r="S4">
        <f>HYPERLINK("https://klasma.github.io/Logging_1419/artfynd/A 61627-2024 artfynd.xlsx", "A 61627-2024")</f>
        <v/>
      </c>
      <c r="T4">
        <f>HYPERLINK("https://klasma.github.io/Logging_1419/kartor/A 61627-2024 karta.png", "A 61627-2024")</f>
        <v/>
      </c>
      <c r="V4">
        <f>HYPERLINK("https://klasma.github.io/Logging_1419/klagomål/A 61627-2024 FSC-klagomål.docx", "A 61627-2024")</f>
        <v/>
      </c>
      <c r="W4">
        <f>HYPERLINK("https://klasma.github.io/Logging_1419/klagomålsmail/A 61627-2024 FSC-klagomål mail.docx", "A 61627-2024")</f>
        <v/>
      </c>
      <c r="X4">
        <f>HYPERLINK("https://klasma.github.io/Logging_1419/tillsyn/A 61627-2024 tillsynsbegäran.docx", "A 61627-2024")</f>
        <v/>
      </c>
      <c r="Y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s="1" t="n">
        <v>46029</v>
      </c>
      <c r="C5" s="1" t="n">
        <v>46192</v>
      </c>
      <c r="D5" t="inlineStr">
        <is>
          <t>VÄSTRA GÖTALANDS LÄN</t>
        </is>
      </c>
      <c r="E5" t="inlineStr">
        <is>
          <t>TJÖRN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Äkta lopplummer</t>
        </is>
      </c>
      <c r="S5">
        <f>HYPERLINK("https://klasma.github.io/Logging_1419/artfynd/A 889-2026 artfynd.xlsx", "A 889-2026")</f>
        <v/>
      </c>
      <c r="T5">
        <f>HYPERLINK("https://klasma.github.io/Logging_1419/kartor/A 889-2026 karta.png", "A 889-2026")</f>
        <v/>
      </c>
      <c r="V5">
        <f>HYPERLINK("https://klasma.github.io/Logging_1419/klagomål/A 889-2026 FSC-klagomål.docx", "A 889-2026")</f>
        <v/>
      </c>
      <c r="W5">
        <f>HYPERLINK("https://klasma.github.io/Logging_1419/klagomålsmail/A 889-2026 FSC-klagomål mail.docx", "A 889-2026")</f>
        <v/>
      </c>
      <c r="X5">
        <f>HYPERLINK("https://klasma.github.io/Logging_1419/tillsyn/A 889-2026 tillsynsbegäran.docx", "A 889-2026")</f>
        <v/>
      </c>
      <c r="Y5">
        <f>HYPERLINK("https://klasma.github.io/Logging_1419/tillsynsmail/A 889-2026 tillsynsbegäran mail.docx", "A 889-2026")</f>
        <v/>
      </c>
    </row>
    <row r="6" ht="15" customHeight="1">
      <c r="A6" t="inlineStr">
        <is>
          <t>A 34591-2022</t>
        </is>
      </c>
      <c r="B6" s="1" t="n">
        <v>44795</v>
      </c>
      <c r="C6" s="1" t="n">
        <v>46192</v>
      </c>
      <c r="D6" t="inlineStr">
        <is>
          <t>VÄSTRA GÖTALANDS LÄN</t>
        </is>
      </c>
      <c r="E6" t="inlineStr">
        <is>
          <t>TJÖRN</t>
        </is>
      </c>
      <c r="G6" t="n">
        <v>2.5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Blågrönt mannagräs</t>
        </is>
      </c>
      <c r="S6">
        <f>HYPERLINK("https://klasma.github.io/Logging_1419/artfynd/A 34591-2022 artfynd.xlsx", "A 34591-2022")</f>
        <v/>
      </c>
      <c r="T6">
        <f>HYPERLINK("https://klasma.github.io/Logging_1419/kartor/A 34591-2022 karta.png", "A 34591-2022")</f>
        <v/>
      </c>
      <c r="V6">
        <f>HYPERLINK("https://klasma.github.io/Logging_1419/klagomål/A 34591-2022 FSC-klagomål.docx", "A 34591-2022")</f>
        <v/>
      </c>
      <c r="W6">
        <f>HYPERLINK("https://klasma.github.io/Logging_1419/klagomålsmail/A 34591-2022 FSC-klagomål mail.docx", "A 34591-2022")</f>
        <v/>
      </c>
      <c r="X6">
        <f>HYPERLINK("https://klasma.github.io/Logging_1419/tillsyn/A 34591-2022 tillsynsbegäran.docx", "A 34591-2022")</f>
        <v/>
      </c>
      <c r="Y6">
        <f>HYPERLINK("https://klasma.github.io/Logging_1419/tillsynsmail/A 34591-2022 tillsynsbegäran mail.docx", "A 34591-2022")</f>
        <v/>
      </c>
    </row>
    <row r="7" ht="15" customHeight="1">
      <c r="A7" t="inlineStr">
        <is>
          <t>A 10354-2026</t>
        </is>
      </c>
      <c r="B7" s="1" t="n">
        <v>46075</v>
      </c>
      <c r="C7" s="1" t="n">
        <v>46192</v>
      </c>
      <c r="D7" t="inlineStr">
        <is>
          <t>VÄSTRA GÖTALANDS LÄN</t>
        </is>
      </c>
      <c r="E7" t="inlineStr">
        <is>
          <t>TJÖRN</t>
        </is>
      </c>
      <c r="G7" t="n">
        <v>0.7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Slåttergubbe</t>
        </is>
      </c>
      <c r="S7">
        <f>HYPERLINK("https://klasma.github.io/Logging_1419/artfynd/A 10354-2026 artfynd.xlsx", "A 10354-2026")</f>
        <v/>
      </c>
      <c r="T7">
        <f>HYPERLINK("https://klasma.github.io/Logging_1419/kartor/A 10354-2026 karta.png", "A 10354-2026")</f>
        <v/>
      </c>
      <c r="V7">
        <f>HYPERLINK("https://klasma.github.io/Logging_1419/klagomål/A 10354-2026 FSC-klagomål.docx", "A 10354-2026")</f>
        <v/>
      </c>
      <c r="W7">
        <f>HYPERLINK("https://klasma.github.io/Logging_1419/klagomålsmail/A 10354-2026 FSC-klagomål mail.docx", "A 10354-2026")</f>
        <v/>
      </c>
      <c r="X7">
        <f>HYPERLINK("https://klasma.github.io/Logging_1419/tillsyn/A 10354-2026 tillsynsbegäran.docx", "A 10354-2026")</f>
        <v/>
      </c>
      <c r="Y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s="1" t="n">
        <v>46080</v>
      </c>
      <c r="C8" s="1" t="n">
        <v>46192</v>
      </c>
      <c r="D8" t="inlineStr">
        <is>
          <t>VÄSTRA GÖTALANDS LÄN</t>
        </is>
      </c>
      <c r="E8" t="inlineStr">
        <is>
          <t>TJÖRN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HYPERLINK("https://klasma.github.io/Logging_1419/artfynd/A 11250-2026 artfynd.xlsx", "A 11250-2026")</f>
        <v/>
      </c>
      <c r="T8">
        <f>HYPERLINK("https://klasma.github.io/Logging_1419/kartor/A 11250-2026 karta.png", "A 11250-2026")</f>
        <v/>
      </c>
      <c r="V8">
        <f>HYPERLINK("https://klasma.github.io/Logging_1419/klagomål/A 11250-2026 FSC-klagomål.docx", "A 11250-2026")</f>
        <v/>
      </c>
      <c r="W8">
        <f>HYPERLINK("https://klasma.github.io/Logging_1419/klagomålsmail/A 11250-2026 FSC-klagomål mail.docx", "A 11250-2026")</f>
        <v/>
      </c>
      <c r="X8">
        <f>HYPERLINK("https://klasma.github.io/Logging_1419/tillsyn/A 11250-2026 tillsynsbegäran.docx", "A 11250-2026")</f>
        <v/>
      </c>
      <c r="Y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s="1" t="n">
        <v>46080</v>
      </c>
      <c r="C9" s="1" t="n">
        <v>46192</v>
      </c>
      <c r="D9" t="inlineStr">
        <is>
          <t>VÄSTRA GÖTALANDS LÄN</t>
        </is>
      </c>
      <c r="E9" t="inlineStr">
        <is>
          <t>TJÖRN</t>
        </is>
      </c>
      <c r="G9" t="n">
        <v>3.9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HYPERLINK("https://klasma.github.io/Logging_1419/artfynd/A 11240-2026 artfynd.xlsx", "A 11240-2026")</f>
        <v/>
      </c>
      <c r="T9">
        <f>HYPERLINK("https://klasma.github.io/Logging_1419/kartor/A 11240-2026 karta.png", "A 11240-2026")</f>
        <v/>
      </c>
      <c r="V9">
        <f>HYPERLINK("https://klasma.github.io/Logging_1419/klagomål/A 11240-2026 FSC-klagomål.docx", "A 11240-2026")</f>
        <v/>
      </c>
      <c r="W9">
        <f>HYPERLINK("https://klasma.github.io/Logging_1419/klagomålsmail/A 11240-2026 FSC-klagomål mail.docx", "A 11240-2026")</f>
        <v/>
      </c>
      <c r="X9">
        <f>HYPERLINK("https://klasma.github.io/Logging_1419/tillsyn/A 11240-2026 tillsynsbegäran.docx", "A 11240-2026")</f>
        <v/>
      </c>
      <c r="Y9">
        <f>HYPERLINK("https://klasma.github.io/Logging_1419/tillsynsmail/A 11240-2026 tillsynsbegäran mail.docx", "A 11240-2026")</f>
        <v/>
      </c>
    </row>
    <row r="10" ht="15" customHeight="1">
      <c r="A10" t="inlineStr">
        <is>
          <t>A 59192-2022</t>
        </is>
      </c>
      <c r="B10" s="1" t="n">
        <v>44896</v>
      </c>
      <c r="C10" s="1" t="n">
        <v>46192</v>
      </c>
      <c r="D10" t="inlineStr">
        <is>
          <t>VÄSTRA GÖTALANDS LÄN</t>
        </is>
      </c>
      <c r="E10" t="inlineStr">
        <is>
          <t>TJÖRN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7791-2023</t>
        </is>
      </c>
      <c r="B11" s="1" t="n">
        <v>44973</v>
      </c>
      <c r="C11" s="1" t="n">
        <v>46192</v>
      </c>
      <c r="D11" t="inlineStr">
        <is>
          <t>VÄSTRA GÖTALANDS LÄN</t>
        </is>
      </c>
      <c r="E11" t="inlineStr">
        <is>
          <t>TJÖRN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769-2023</t>
        </is>
      </c>
      <c r="B12" s="1" t="n">
        <v>44931</v>
      </c>
      <c r="C12" s="1" t="n">
        <v>46192</v>
      </c>
      <c r="D12" t="inlineStr">
        <is>
          <t>VÄSTRA GÖTALANDS LÄN</t>
        </is>
      </c>
      <c r="E12" t="inlineStr">
        <is>
          <t>TJÖRN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1379-2024</t>
        </is>
      </c>
      <c r="B13" s="1" t="n">
        <v>45303</v>
      </c>
      <c r="C13" s="1" t="n">
        <v>46192</v>
      </c>
      <c r="D13" t="inlineStr">
        <is>
          <t>VÄSTRA GÖTALANDS LÄN</t>
        </is>
      </c>
      <c r="E13" t="inlineStr">
        <is>
          <t>TJÖRN</t>
        </is>
      </c>
      <c r="F13" t="inlineStr">
        <is>
          <t>Kommuner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42462-2025</t>
        </is>
      </c>
      <c r="B14" s="1" t="n">
        <v>45905</v>
      </c>
      <c r="C14" s="1" t="n">
        <v>46192</v>
      </c>
      <c r="D14" t="inlineStr">
        <is>
          <t>VÄSTRA GÖTALANDS LÄN</t>
        </is>
      </c>
      <c r="E14" t="inlineStr">
        <is>
          <t>TJÖRN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1486-2023</t>
        </is>
      </c>
      <c r="B15" s="1" t="n">
        <v>44937</v>
      </c>
      <c r="C15" s="1" t="n">
        <v>46192</v>
      </c>
      <c r="D15" t="inlineStr">
        <is>
          <t>VÄSTRA GÖTALANDS LÄN</t>
        </is>
      </c>
      <c r="E15" t="inlineStr">
        <is>
          <t>TJÖRN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60793-2023</t>
        </is>
      </c>
      <c r="B16" s="1" t="n">
        <v>45260</v>
      </c>
      <c r="C16" s="1" t="n">
        <v>46192</v>
      </c>
      <c r="D16" t="inlineStr">
        <is>
          <t>VÄSTRA GÖTALANDS LÄN</t>
        </is>
      </c>
      <c r="E16" t="inlineStr">
        <is>
          <t>TJÖRN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45167-2025</t>
        </is>
      </c>
      <c r="B17" s="1" t="n">
        <v>45919</v>
      </c>
      <c r="C17" s="1" t="n">
        <v>46192</v>
      </c>
      <c r="D17" t="inlineStr">
        <is>
          <t>VÄSTRA GÖTALANDS LÄN</t>
        </is>
      </c>
      <c r="E17" t="inlineStr">
        <is>
          <t>TJÖRN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45088-2025</t>
        </is>
      </c>
      <c r="B18" s="1" t="n">
        <v>45919</v>
      </c>
      <c r="C18" s="1" t="n">
        <v>46192</v>
      </c>
      <c r="D18" t="inlineStr">
        <is>
          <t>VÄSTRA GÖTALANDS LÄN</t>
        </is>
      </c>
      <c r="E18" t="inlineStr">
        <is>
          <t>TJÖRN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45158-2025</t>
        </is>
      </c>
      <c r="B19" s="1" t="n">
        <v>45919</v>
      </c>
      <c r="C19" s="1" t="n">
        <v>46192</v>
      </c>
      <c r="D19" t="inlineStr">
        <is>
          <t>VÄSTRA GÖTALANDS LÄN</t>
        </is>
      </c>
      <c r="E19" t="inlineStr">
        <is>
          <t>TJÖRN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57410-2022</t>
        </is>
      </c>
      <c r="B20" s="1" t="n">
        <v>44896</v>
      </c>
      <c r="C20" s="1" t="n">
        <v>46192</v>
      </c>
      <c r="D20" t="inlineStr">
        <is>
          <t>VÄSTRA GÖTALANDS LÄN</t>
        </is>
      </c>
      <c r="E20" t="inlineStr">
        <is>
          <t>TJÖRN</t>
        </is>
      </c>
      <c r="G20" t="n">
        <v>7.5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57000-2025</t>
        </is>
      </c>
      <c r="B21" s="1" t="n">
        <v>45977</v>
      </c>
      <c r="C21" s="1" t="n">
        <v>46192</v>
      </c>
      <c r="D21" t="inlineStr">
        <is>
          <t>VÄSTRA GÖTALANDS LÄN</t>
        </is>
      </c>
      <c r="E21" t="inlineStr">
        <is>
          <t>TJÖRN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57655-2025</t>
        </is>
      </c>
      <c r="B22" s="1" t="n">
        <v>45981</v>
      </c>
      <c r="C22" s="1" t="n">
        <v>46192</v>
      </c>
      <c r="D22" t="inlineStr">
        <is>
          <t>VÄSTRA GÖTALANDS LÄN</t>
        </is>
      </c>
      <c r="E22" t="inlineStr">
        <is>
          <t>TJÖRN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31486-2021</t>
        </is>
      </c>
      <c r="B23" s="1" t="n">
        <v>44369</v>
      </c>
      <c r="C23" s="1" t="n">
        <v>46192</v>
      </c>
      <c r="D23" t="inlineStr">
        <is>
          <t>VÄSTRA GÖTALANDS LÄN</t>
        </is>
      </c>
      <c r="E23" t="inlineStr">
        <is>
          <t>TJÖRN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21141-2023</t>
        </is>
      </c>
      <c r="B24" s="1" t="n">
        <v>45062</v>
      </c>
      <c r="C24" s="1" t="n">
        <v>46192</v>
      </c>
      <c r="D24" t="inlineStr">
        <is>
          <t>VÄSTRA GÖTALANDS LÄN</t>
        </is>
      </c>
      <c r="E24" t="inlineStr">
        <is>
          <t>TJÖRN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63664-2023</t>
        </is>
      </c>
      <c r="B25" s="1" t="n">
        <v>45275</v>
      </c>
      <c r="C25" s="1" t="n">
        <v>46192</v>
      </c>
      <c r="D25" t="inlineStr">
        <is>
          <t>VÄSTRA GÖTALANDS LÄN</t>
        </is>
      </c>
      <c r="E25" t="inlineStr">
        <is>
          <t>TJÖRN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2433-2026</t>
        </is>
      </c>
      <c r="B26" s="1" t="n">
        <v>46036</v>
      </c>
      <c r="C26" s="1" t="n">
        <v>46192</v>
      </c>
      <c r="D26" t="inlineStr">
        <is>
          <t>VÄSTRA GÖTALANDS LÄN</t>
        </is>
      </c>
      <c r="E26" t="inlineStr">
        <is>
          <t>TJÖRN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2434-2026</t>
        </is>
      </c>
      <c r="B27" s="1" t="n">
        <v>46036</v>
      </c>
      <c r="C27" s="1" t="n">
        <v>46192</v>
      </c>
      <c r="D27" t="inlineStr">
        <is>
          <t>VÄSTRA GÖTALANDS LÄN</t>
        </is>
      </c>
      <c r="E27" t="inlineStr">
        <is>
          <t>TJÖRN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57955-2024</t>
        </is>
      </c>
      <c r="B28" s="1" t="n">
        <v>45631</v>
      </c>
      <c r="C28" s="1" t="n">
        <v>46192</v>
      </c>
      <c r="D28" t="inlineStr">
        <is>
          <t>VÄSTRA GÖTALANDS LÄN</t>
        </is>
      </c>
      <c r="E28" t="inlineStr">
        <is>
          <t>TJÖRN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10340-2026</t>
        </is>
      </c>
      <c r="B29" s="1" t="n">
        <v>46075</v>
      </c>
      <c r="C29" s="1" t="n">
        <v>46192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60718-2022</t>
        </is>
      </c>
      <c r="B30" s="1" t="n">
        <v>44912</v>
      </c>
      <c r="C30" s="1" t="n">
        <v>46192</v>
      </c>
      <c r="D30" t="inlineStr">
        <is>
          <t>VÄSTRA GÖTALANDS LÄN</t>
        </is>
      </c>
      <c r="E30" t="inlineStr">
        <is>
          <t>TJÖRN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11042-2026</t>
        </is>
      </c>
      <c r="B31" s="1" t="n">
        <v>46079</v>
      </c>
      <c r="C31" s="1" t="n">
        <v>46192</v>
      </c>
      <c r="D31" t="inlineStr">
        <is>
          <t>VÄSTRA GÖTALANDS LÄN</t>
        </is>
      </c>
      <c r="E31" t="inlineStr">
        <is>
          <t>TJÖRN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11000-2026</t>
        </is>
      </c>
      <c r="B32" s="1" t="n">
        <v>46079</v>
      </c>
      <c r="C32" s="1" t="n">
        <v>46192</v>
      </c>
      <c r="D32" t="inlineStr">
        <is>
          <t>VÄSTRA GÖTALANDS LÄN</t>
        </is>
      </c>
      <c r="E32" t="inlineStr">
        <is>
          <t>TJÖRN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21379-2023</t>
        </is>
      </c>
      <c r="B33" s="1" t="n">
        <v>45063</v>
      </c>
      <c r="C33" s="1" t="n">
        <v>46192</v>
      </c>
      <c r="D33" t="inlineStr">
        <is>
          <t>VÄSTRA GÖTALANDS LÄN</t>
        </is>
      </c>
      <c r="E33" t="inlineStr">
        <is>
          <t>TJÖRN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23295-2025</t>
        </is>
      </c>
      <c r="B34" s="1" t="n">
        <v>45791</v>
      </c>
      <c r="C34" s="1" t="n">
        <v>46192</v>
      </c>
      <c r="D34" t="inlineStr">
        <is>
          <t>VÄSTRA GÖTALANDS LÄN</t>
        </is>
      </c>
      <c r="E34" t="inlineStr">
        <is>
          <t>TJÖRN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23294-2025</t>
        </is>
      </c>
      <c r="B35" s="1" t="n">
        <v>45791</v>
      </c>
      <c r="C35" s="1" t="n">
        <v>46192</v>
      </c>
      <c r="D35" t="inlineStr">
        <is>
          <t>VÄSTRA GÖTALANDS LÄN</t>
        </is>
      </c>
      <c r="E35" t="inlineStr">
        <is>
          <t>TJÖRN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23301-2025</t>
        </is>
      </c>
      <c r="B36" s="1" t="n">
        <v>45791</v>
      </c>
      <c r="C36" s="1" t="n">
        <v>46192</v>
      </c>
      <c r="D36" t="inlineStr">
        <is>
          <t>VÄSTRA GÖTALANDS LÄN</t>
        </is>
      </c>
      <c r="E36" t="inlineStr">
        <is>
          <t>TJÖRN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22419-2026</t>
        </is>
      </c>
      <c r="B37" s="1" t="n">
        <v>46154</v>
      </c>
      <c r="C37" s="1" t="n">
        <v>46192</v>
      </c>
      <c r="D37" t="inlineStr">
        <is>
          <t>VÄSTRA GÖTALANDS LÄN</t>
        </is>
      </c>
      <c r="E37" t="inlineStr">
        <is>
          <t>TJÖRN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60392-2022</t>
        </is>
      </c>
      <c r="B38" s="1" t="n">
        <v>44910</v>
      </c>
      <c r="C38" s="1" t="n">
        <v>46192</v>
      </c>
      <c r="D38" t="inlineStr">
        <is>
          <t>VÄSTRA GÖTALANDS LÄN</t>
        </is>
      </c>
      <c r="E38" t="inlineStr">
        <is>
          <t>TJÖRN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7787-2023</t>
        </is>
      </c>
      <c r="B39" s="1" t="n">
        <v>44973</v>
      </c>
      <c r="C39" s="1" t="n">
        <v>46192</v>
      </c>
      <c r="D39" t="inlineStr">
        <is>
          <t>VÄSTRA GÖTALANDS LÄN</t>
        </is>
      </c>
      <c r="E39" t="inlineStr">
        <is>
          <t>TJÖRN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1103-2025</t>
        </is>
      </c>
      <c r="B40" s="1" t="n">
        <v>45666</v>
      </c>
      <c r="C40" s="1" t="n">
        <v>46192</v>
      </c>
      <c r="D40" t="inlineStr">
        <is>
          <t>VÄSTRA GÖTALANDS LÄN</t>
        </is>
      </c>
      <c r="E40" t="inlineStr">
        <is>
          <t>TJÖRN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59011-2025</t>
        </is>
      </c>
      <c r="B41" s="1" t="n">
        <v>45987</v>
      </c>
      <c r="C41" s="1" t="n">
        <v>46192</v>
      </c>
      <c r="D41" t="inlineStr">
        <is>
          <t>VÄSTRA GÖTALANDS LÄN</t>
        </is>
      </c>
      <c r="E41" t="inlineStr">
        <is>
          <t>TJÖRN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18290-2026</t>
        </is>
      </c>
      <c r="B42" s="1" t="n">
        <v>46126</v>
      </c>
      <c r="C42" s="1" t="n">
        <v>46192</v>
      </c>
      <c r="D42" t="inlineStr">
        <is>
          <t>VÄSTRA GÖTALANDS LÄN</t>
        </is>
      </c>
      <c r="E42" t="inlineStr">
        <is>
          <t>TJÖRN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34508-2025</t>
        </is>
      </c>
      <c r="B43" s="1" t="n">
        <v>45847</v>
      </c>
      <c r="C43" s="1" t="n">
        <v>46192</v>
      </c>
      <c r="D43" t="inlineStr">
        <is>
          <t>VÄSTRA GÖTALANDS LÄN</t>
        </is>
      </c>
      <c r="E43" t="inlineStr">
        <is>
          <t>TJÖRN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34394-2025</t>
        </is>
      </c>
      <c r="B44" s="1" t="n">
        <v>45846</v>
      </c>
      <c r="C44" s="1" t="n">
        <v>46192</v>
      </c>
      <c r="D44" t="inlineStr">
        <is>
          <t>VÄSTRA GÖTALANDS LÄN</t>
        </is>
      </c>
      <c r="E44" t="inlineStr">
        <is>
          <t>TJÖRN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32577-2025</t>
        </is>
      </c>
      <c r="B45" s="1" t="n">
        <v>45838</v>
      </c>
      <c r="C45" s="1" t="n">
        <v>46192</v>
      </c>
      <c r="D45" t="inlineStr">
        <is>
          <t>VÄSTRA GÖTALANDS LÄN</t>
        </is>
      </c>
      <c r="E45" t="inlineStr">
        <is>
          <t>TJÖRN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60717-2022</t>
        </is>
      </c>
      <c r="B46" s="1" t="n">
        <v>44912</v>
      </c>
      <c r="C46" s="1" t="n">
        <v>46192</v>
      </c>
      <c r="D46" t="inlineStr">
        <is>
          <t>VÄSTRA GÖTALANDS LÄN</t>
        </is>
      </c>
      <c r="E46" t="inlineStr">
        <is>
          <t>TJÖRN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25725-2026</t>
        </is>
      </c>
      <c r="B47" s="1" t="n">
        <v>46178</v>
      </c>
      <c r="C47" s="1" t="n">
        <v>46192</v>
      </c>
      <c r="D47" t="inlineStr">
        <is>
          <t>VÄSTRA GÖTALANDS LÄN</t>
        </is>
      </c>
      <c r="E47" t="inlineStr">
        <is>
          <t>TJÖRN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25726-2026</t>
        </is>
      </c>
      <c r="B48" s="1" t="n">
        <v>46178</v>
      </c>
      <c r="C48" s="1" t="n">
        <v>46192</v>
      </c>
      <c r="D48" t="inlineStr">
        <is>
          <t>VÄSTRA GÖTALANDS LÄN</t>
        </is>
      </c>
      <c r="E48" t="inlineStr">
        <is>
          <t>TJÖRN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20193-2026</t>
        </is>
      </c>
      <c r="B49" s="1" t="n">
        <v>46139</v>
      </c>
      <c r="C49" s="1" t="n">
        <v>46192</v>
      </c>
      <c r="D49" t="inlineStr">
        <is>
          <t>VÄSTRA GÖTALANDS LÄN</t>
        </is>
      </c>
      <c r="E49" t="inlineStr">
        <is>
          <t>TJÖRN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2026-06-19T00:44:49Z</dcterms:created>
  <dcterms:modified xmlns:dcterms="http://purl.org/dc/terms/" xmlns:xsi="http://www.w3.org/2001/XMLSchema-instance" xsi:type="dcterms:W3CDTF">2026-06-19T00:44:49Z</dcterms:modified>
</cp:coreProperties>
</file>