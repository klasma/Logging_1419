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46260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46260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46260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34591-2022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44795</v>
      </c>
      <c r="E8" s="1" t="n">
        <v>46260</v>
      </c>
      <c r="F8" t="inlineStr">
        <is>
          <t>VÄSTRA GÖTALANDS LÄN</t>
        </is>
      </c>
      <c r="G8" t="inlineStr">
        <is>
          <t>TJÖRN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Blågrönt mannagräs</t>
        </is>
      </c>
      <c r="W8">
        <f>HYPERLINK("https://klasma.github.io/Logging_1419/artfynd/A 34591-2022 artfynd.xlsx", "A 34591-2022")</f>
        <v/>
      </c>
      <c r="X8">
        <f>HYPERLINK("https://klasma.github.io/Logging_1419/kartor/A 34591-2022 karta.png", "A 34591-2022")</f>
        <v/>
      </c>
      <c r="Y8">
        <f>HYPERLINK("https://klasma.github.io/Logging_1419/kartor_geotiff/A 34591-2022 georefererad karta.tif", "A 34591-2022")</f>
        <v/>
      </c>
      <c r="AA8">
        <f>HYPERLINK("https://klasma.github.io/Logging_1419/klagomål/A 34591-2022 FSC-klagomål.docx", "A 34591-2022")</f>
        <v/>
      </c>
      <c r="AB8">
        <f>HYPERLINK("https://klasma.github.io/Logging_1419/klagomålsmail/A 34591-2022 FSC-klagomål mail.docx", "A 34591-2022")</f>
        <v/>
      </c>
      <c r="AC8">
        <f>HYPERLINK("https://klasma.github.io/Logging_1419/tillsyn/A 34591-2022 tillsynsbegäran.docx", "A 34591-2022")</f>
        <v/>
      </c>
      <c r="AD8">
        <f>HYPERLINK("https://klasma.github.io/Logging_1419/tillsynsmail/A 34591-2022 tillsynsbegäran mail.docx", "A 34591-2022")</f>
        <v/>
      </c>
    </row>
    <row r="9" ht="15" customHeight="1">
      <c r="A9" t="inlineStr">
        <is>
          <t>A 889-2026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46260</v>
      </c>
      <c r="F9" t="inlineStr">
        <is>
          <t>VÄSTRA GÖTALANDS LÄN</t>
        </is>
      </c>
      <c r="G9" t="inlineStr">
        <is>
          <t>TJÖRN</t>
        </is>
      </c>
      <c r="I9" t="n">
        <v>1.1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Äkta lopplummer</t>
        </is>
      </c>
      <c r="W9">
        <f>HYPERLINK("https://klasma.github.io/Logging_1419/artfynd/A 889-2026 artfynd.xlsx", "A 889-2026")</f>
        <v/>
      </c>
      <c r="X9">
        <f>HYPERLINK("https://klasma.github.io/Logging_1419/kartor/A 889-2026 karta.png", "A 889-2026")</f>
        <v/>
      </c>
      <c r="Y9">
        <f>HYPERLINK("https://klasma.github.io/Logging_1419/kartor_geotiff/A 889-2026 georefererad karta.tif", "A 889-2026")</f>
        <v/>
      </c>
      <c r="AA9">
        <f>HYPERLINK("https://klasma.github.io/Logging_1419/klagomål/A 889-2026 FSC-klagomål.docx", "A 889-2026")</f>
        <v/>
      </c>
      <c r="AB9">
        <f>HYPERLINK("https://klasma.github.io/Logging_1419/klagomålsmail/A 889-2026 FSC-klagomål mail.docx", "A 889-2026")</f>
        <v/>
      </c>
      <c r="AC9">
        <f>HYPERLINK("https://klasma.github.io/Logging_1419/tillsyn/A 889-2026 tillsynsbegäran.docx", "A 889-2026")</f>
        <v/>
      </c>
      <c r="AD9">
        <f>HYPERLINK("https://klasma.github.io/Logging_1419/tillsynsmail/A 889-2026 tillsynsbegäran mail.docx", "A 889-2026")</f>
        <v/>
      </c>
    </row>
    <row r="10" ht="15" customHeight="1">
      <c r="A10" t="inlineStr">
        <is>
          <t>A 2433-2026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46260</v>
      </c>
      <c r="F10" t="inlineStr">
        <is>
          <t>VÄSTRA GÖTALANDS LÄN</t>
        </is>
      </c>
      <c r="G10" t="inlineStr">
        <is>
          <t>TJÖRN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46260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46260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10340-2026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46075</v>
      </c>
      <c r="E13" s="1" t="n">
        <v>46260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11042-2026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46079</v>
      </c>
      <c r="E14" s="1" t="n">
        <v>46260</v>
      </c>
      <c r="F14" t="inlineStr">
        <is>
          <t>VÄSTRA GÖTALANDS LÄN</t>
        </is>
      </c>
      <c r="G14" t="inlineStr">
        <is>
          <t>TJÖRN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46260</v>
      </c>
      <c r="F15" t="inlineStr">
        <is>
          <t>VÄSTRA GÖTALANDS LÄN</t>
        </is>
      </c>
      <c r="G15" t="inlineStr">
        <is>
          <t>TJÖRN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11000-2026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46079</v>
      </c>
      <c r="E16" s="1" t="n">
        <v>46260</v>
      </c>
      <c r="F16" t="inlineStr">
        <is>
          <t>VÄSTRA GÖTALANDS LÄN</t>
        </is>
      </c>
      <c r="G16" t="inlineStr">
        <is>
          <t>TJÖRN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45088-2025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46260</v>
      </c>
      <c r="F17" t="inlineStr">
        <is>
          <t>VÄSTRA GÖTALANDS LÄN</t>
        </is>
      </c>
      <c r="G17" t="inlineStr">
        <is>
          <t>TJÖRN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46260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46260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45666</v>
      </c>
      <c r="E20" s="1" t="n">
        <v>46260</v>
      </c>
      <c r="F20" t="inlineStr">
        <is>
          <t>VÄSTRA GÖTALANDS LÄN</t>
        </is>
      </c>
      <c r="G20" t="inlineStr">
        <is>
          <t>TJÖRN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46260</v>
      </c>
      <c r="F21" t="inlineStr">
        <is>
          <t>VÄSTRA GÖTALANDS LÄN</t>
        </is>
      </c>
      <c r="G21" t="inlineStr">
        <is>
          <t>TJÖRN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46260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46260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46260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46260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22419-2026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46154</v>
      </c>
      <c r="E26" s="1" t="n">
        <v>46260</v>
      </c>
      <c r="F26" t="inlineStr">
        <is>
          <t>VÄSTRA GÖTALANDS LÄN</t>
        </is>
      </c>
      <c r="G26" t="inlineStr">
        <is>
          <t>TJÖRN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60392-2022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44910</v>
      </c>
      <c r="E27" s="1" t="n">
        <v>46260</v>
      </c>
      <c r="F27" t="inlineStr">
        <is>
          <t>VÄSTRA GÖTALANDS LÄN</t>
        </is>
      </c>
      <c r="G27" t="inlineStr">
        <is>
          <t>TJÖRN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46260</v>
      </c>
      <c r="F28" t="inlineStr">
        <is>
          <t>VÄSTRA GÖTALANDS LÄN</t>
        </is>
      </c>
      <c r="G28" t="inlineStr">
        <is>
          <t>TJÖRN</t>
        </is>
      </c>
      <c r="I28" t="n">
        <v>5.7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34508-2025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45847</v>
      </c>
      <c r="E29" s="1" t="n">
        <v>46260</v>
      </c>
      <c r="F29" t="inlineStr">
        <is>
          <t>VÄSTRA GÖTALANDS LÄN</t>
        </is>
      </c>
      <c r="G29" t="inlineStr">
        <is>
          <t>TJÖRN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46260</v>
      </c>
      <c r="F30" t="inlineStr">
        <is>
          <t>VÄSTRA GÖTALANDS LÄN</t>
        </is>
      </c>
      <c r="G30" t="inlineStr">
        <is>
          <t>TJÖRN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46260</v>
      </c>
      <c r="F31" t="inlineStr">
        <is>
          <t>VÄSTRA GÖTALANDS LÄN</t>
        </is>
      </c>
      <c r="G31" t="inlineStr">
        <is>
          <t>TJÖRN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44912</v>
      </c>
      <c r="E32" s="1" t="n">
        <v>46260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46260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46260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44931</v>
      </c>
      <c r="E35" s="1" t="n">
        <v>46260</v>
      </c>
      <c r="F35" t="inlineStr">
        <is>
          <t>VÄSTRA GÖTALANDS LÄN</t>
        </is>
      </c>
      <c r="G35" t="inlineStr">
        <is>
          <t>TJÖRN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46260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1486-2023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44937</v>
      </c>
      <c r="E37" s="1" t="n">
        <v>46260</v>
      </c>
      <c r="F37" t="inlineStr">
        <is>
          <t>VÄSTRA GÖTALANDS LÄN</t>
        </is>
      </c>
      <c r="G37" t="inlineStr">
        <is>
          <t>TJÖRN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45260</v>
      </c>
      <c r="E38" s="1" t="n">
        <v>46260</v>
      </c>
      <c r="F38" t="inlineStr">
        <is>
          <t>VÄSTRA GÖTALANDS LÄN</t>
        </is>
      </c>
      <c r="G38" t="inlineStr">
        <is>
          <t>TJÖRN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46260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46260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46260</v>
      </c>
      <c r="F41" t="inlineStr">
        <is>
          <t>VÄSTRA GÖTALANDS LÄN</t>
        </is>
      </c>
      <c r="G41" t="inlineStr">
        <is>
          <t>TJÖRN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46260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46260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45275</v>
      </c>
      <c r="E44" s="1" t="n">
        <v>46260</v>
      </c>
      <c r="F44" t="inlineStr">
        <is>
          <t>VÄSTRA GÖTALANDS LÄN</t>
        </is>
      </c>
      <c r="G44" t="inlineStr">
        <is>
          <t>TJÖRN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46260</v>
      </c>
      <c r="F45" t="inlineStr">
        <is>
          <t>VÄSTRA GÖTALANDS LÄN</t>
        </is>
      </c>
      <c r="G45" t="inlineStr">
        <is>
          <t>TJÖRN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46260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46260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46260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2026-08-26T01:55:06Z</dcterms:created>
  <dcterms:modified xmlns:dcterms="http://purl.org/dc/terms/" xmlns:xsi="http://www.w3.org/2001/XMLSchema-instance" xsi:type="dcterms:W3CDTF">2026-08-26T01:55:06Z</dcterms:modified>
</cp:coreProperties>
</file>