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46253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46253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46253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46253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46253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46253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46253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Äkta lopplummer</t>
        </is>
      </c>
      <c r="W8">
        <f>HYPERLINK("https://klasma.github.io/Logging_1419/artfynd/A 889-2026 artfynd.xlsx", "A 889-2026")</f>
        <v/>
      </c>
      <c r="X8">
        <f>HYPERLINK("https://klasma.github.io/Logging_1419/kartor/A 889-2026 karta.png", "A 889-2026")</f>
        <v/>
      </c>
      <c r="Y8">
        <f>HYPERLINK("https://klasma.github.io/Logging_1419/kartor_geotiff/A 889-2026 georefererad karta.tif", "A 889-2026")</f>
        <v/>
      </c>
      <c r="AA8">
        <f>HYPERLINK("https://klasma.github.io/Logging_1419/klagomål/A 889-2026 FSC-klagomål.docx", "A 889-2026")</f>
        <v/>
      </c>
      <c r="AB8">
        <f>HYPERLINK("https://klasma.github.io/Logging_1419/klagomålsmail/A 889-2026 FSC-klagomål mail.docx", "A 889-2026")</f>
        <v/>
      </c>
      <c r="AC8">
        <f>HYPERLINK("https://klasma.github.io/Logging_1419/tillsyn/A 889-2026 tillsynsbegäran.docx", "A 889-2026")</f>
        <v/>
      </c>
      <c r="AD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46253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46253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46253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57410-2022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44896</v>
      </c>
      <c r="E12" s="1" t="n">
        <v>46253</v>
      </c>
      <c r="F12" t="inlineStr">
        <is>
          <t>VÄSTRA GÖTALANDS LÄN</t>
        </is>
      </c>
      <c r="G12" t="inlineStr">
        <is>
          <t>TJÖRN</t>
        </is>
      </c>
      <c r="I12" t="n">
        <v>7.5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2434-2026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46253</v>
      </c>
      <c r="F13" t="inlineStr">
        <is>
          <t>VÄSTRA GÖTALANDS LÄN</t>
        </is>
      </c>
      <c r="G13" t="inlineStr">
        <is>
          <t>TJÖRN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1103-2025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45666</v>
      </c>
      <c r="E14" s="1" t="n">
        <v>46253</v>
      </c>
      <c r="F14" t="inlineStr">
        <is>
          <t>VÄSTRA GÖTALANDS LÄN</t>
        </is>
      </c>
      <c r="G14" t="inlineStr">
        <is>
          <t>TJÖRN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46253</v>
      </c>
      <c r="F15" t="inlineStr">
        <is>
          <t>VÄSTRA GÖTALANDS LÄN</t>
        </is>
      </c>
      <c r="G15" t="inlineStr">
        <is>
          <t>TJÖRN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46253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46253</v>
      </c>
      <c r="F17" t="inlineStr">
        <is>
          <t>VÄSTRA GÖTALANDS LÄN</t>
        </is>
      </c>
      <c r="G17" t="inlineStr">
        <is>
          <t>TJÖRN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10340-2026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46075</v>
      </c>
      <c r="E18" s="1" t="n">
        <v>46253</v>
      </c>
      <c r="F18" t="inlineStr">
        <is>
          <t>VÄSTRA GÖTALANDS LÄN</t>
        </is>
      </c>
      <c r="G18" t="inlineStr">
        <is>
          <t>TJÖRN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11000-2026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46079</v>
      </c>
      <c r="E19" s="1" t="n">
        <v>46253</v>
      </c>
      <c r="F19" t="inlineStr">
        <is>
          <t>VÄSTRA GÖTALANDS LÄN</t>
        </is>
      </c>
      <c r="G19" t="inlineStr">
        <is>
          <t>TJÖRN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46253</v>
      </c>
      <c r="F20" t="inlineStr">
        <is>
          <t>VÄSTRA GÖTALANDS LÄN</t>
        </is>
      </c>
      <c r="G20" t="inlineStr">
        <is>
          <t>TJÖRN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7787-2023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46253</v>
      </c>
      <c r="F21" t="inlineStr">
        <is>
          <t>VÄSTRA GÖTALANDS LÄN</t>
        </is>
      </c>
      <c r="G21" t="inlineStr">
        <is>
          <t>TJÖRN</t>
        </is>
      </c>
      <c r="I21" t="n">
        <v>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45167-2025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46253</v>
      </c>
      <c r="F22" t="inlineStr">
        <is>
          <t>VÄSTRA GÖTALANDS LÄN</t>
        </is>
      </c>
      <c r="G22" t="inlineStr">
        <is>
          <t>TJÖRN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45158-2025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46253</v>
      </c>
      <c r="F23" t="inlineStr">
        <is>
          <t>VÄSTRA GÖTALANDS LÄN</t>
        </is>
      </c>
      <c r="G23" t="inlineStr">
        <is>
          <t>TJÖRN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45088-2025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46253</v>
      </c>
      <c r="F24" t="inlineStr">
        <is>
          <t>VÄSTRA GÖTALANDS LÄN</t>
        </is>
      </c>
      <c r="G24" t="inlineStr">
        <is>
          <t>TJÖRN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34394-2025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46253</v>
      </c>
      <c r="F25" t="inlineStr">
        <is>
          <t>VÄSTRA GÖTALANDS LÄN</t>
        </is>
      </c>
      <c r="G25" t="inlineStr">
        <is>
          <t>TJÖRN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32577-2025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46253</v>
      </c>
      <c r="F26" t="inlineStr">
        <is>
          <t>VÄSTRA GÖTALANDS LÄN</t>
        </is>
      </c>
      <c r="G26" t="inlineStr">
        <is>
          <t>TJÖRN</t>
        </is>
      </c>
      <c r="I26" t="n">
        <v>5.3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34508-2025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45847</v>
      </c>
      <c r="E27" s="1" t="n">
        <v>46253</v>
      </c>
      <c r="F27" t="inlineStr">
        <is>
          <t>VÄSTRA GÖTALANDS LÄN</t>
        </is>
      </c>
      <c r="G27" t="inlineStr">
        <is>
          <t>TJÖRN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45303</v>
      </c>
      <c r="E28" s="1" t="n">
        <v>46253</v>
      </c>
      <c r="F28" t="inlineStr">
        <is>
          <t>VÄSTRA GÖTALANDS LÄN</t>
        </is>
      </c>
      <c r="G28" t="inlineStr">
        <is>
          <t>TJÖRN</t>
        </is>
      </c>
      <c r="H28" t="inlineStr">
        <is>
          <t>Kommuner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46253</v>
      </c>
      <c r="F29" t="inlineStr">
        <is>
          <t>VÄSTRA GÖTALANDS LÄN</t>
        </is>
      </c>
      <c r="G29" t="inlineStr">
        <is>
          <t>TJÖRN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45977</v>
      </c>
      <c r="E30" s="1" t="n">
        <v>46253</v>
      </c>
      <c r="F30" t="inlineStr">
        <is>
          <t>VÄSTRA GÖTALANDS LÄN</t>
        </is>
      </c>
      <c r="G30" t="inlineStr">
        <is>
          <t>TJÖRN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57655-2025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45981</v>
      </c>
      <c r="E31" s="1" t="n">
        <v>46253</v>
      </c>
      <c r="F31" t="inlineStr">
        <is>
          <t>VÄSTRA GÖTALANDS LÄN</t>
        </is>
      </c>
      <c r="G31" t="inlineStr">
        <is>
          <t>TJÖRN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7791-2023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46253</v>
      </c>
      <c r="F32" t="inlineStr">
        <is>
          <t>VÄSTRA GÖTALANDS LÄN</t>
        </is>
      </c>
      <c r="G32" t="inlineStr">
        <is>
          <t>TJÖRN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46154</v>
      </c>
      <c r="E33" s="1" t="n">
        <v>46253</v>
      </c>
      <c r="F33" t="inlineStr">
        <is>
          <t>VÄSTRA GÖTALANDS LÄN</t>
        </is>
      </c>
      <c r="G33" t="inlineStr">
        <is>
          <t>TJÖRN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46036</v>
      </c>
      <c r="E34" s="1" t="n">
        <v>46253</v>
      </c>
      <c r="F34" t="inlineStr">
        <is>
          <t>VÄSTRA GÖTALANDS LÄN</t>
        </is>
      </c>
      <c r="G34" t="inlineStr">
        <is>
          <t>TJÖRN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63664-2023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45275</v>
      </c>
      <c r="E35" s="1" t="n">
        <v>46253</v>
      </c>
      <c r="F35" t="inlineStr">
        <is>
          <t>VÄSTRA GÖTALANDS LÄN</t>
        </is>
      </c>
      <c r="G35" t="inlineStr">
        <is>
          <t>TJÖRN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46253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46253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57955-2024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45631</v>
      </c>
      <c r="E38" s="1" t="n">
        <v>46253</v>
      </c>
      <c r="F38" t="inlineStr">
        <is>
          <t>VÄSTRA GÖTALANDS LÄN</t>
        </is>
      </c>
      <c r="G38" t="inlineStr">
        <is>
          <t>TJÖRN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33335-2026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46246</v>
      </c>
      <c r="E39" s="1" t="n">
        <v>46253</v>
      </c>
      <c r="F39" t="inlineStr">
        <is>
          <t>VÄSTRA GÖTALANDS LÄN</t>
        </is>
      </c>
      <c r="G39" t="inlineStr">
        <is>
          <t>TJÖRN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59011-2025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45987</v>
      </c>
      <c r="E40" s="1" t="n">
        <v>46253</v>
      </c>
      <c r="F40" t="inlineStr">
        <is>
          <t>VÄSTRA GÖTALANDS LÄN</t>
        </is>
      </c>
      <c r="G40" t="inlineStr">
        <is>
          <t>TJÖRN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46253</v>
      </c>
      <c r="F41" t="inlineStr">
        <is>
          <t>VÄSTRA GÖTALANDS LÄN</t>
        </is>
      </c>
      <c r="G41" t="inlineStr">
        <is>
          <t>TJÖRN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46253</v>
      </c>
      <c r="F42" t="inlineStr">
        <is>
          <t>VÄSTRA GÖTALANDS LÄN</t>
        </is>
      </c>
      <c r="G42" t="inlineStr">
        <is>
          <t>TJÖRN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59192-2022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46253</v>
      </c>
      <c r="F43" t="inlineStr">
        <is>
          <t>VÄSTRA GÖTALANDS LÄN</t>
        </is>
      </c>
      <c r="G43" t="inlineStr">
        <is>
          <t>TJÖRN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60717-2022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44912</v>
      </c>
      <c r="E44" s="1" t="n">
        <v>46253</v>
      </c>
      <c r="F44" t="inlineStr">
        <is>
          <t>VÄSTRA GÖTALANDS LÄN</t>
        </is>
      </c>
      <c r="G44" t="inlineStr">
        <is>
          <t>TJÖRN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23301-2025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46253</v>
      </c>
      <c r="F45" t="inlineStr">
        <is>
          <t>VÄSTRA GÖTALANDS LÄN</t>
        </is>
      </c>
      <c r="G45" t="inlineStr">
        <is>
          <t>TJÖRN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46253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23295-2025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46253</v>
      </c>
      <c r="F47" t="inlineStr">
        <is>
          <t>VÄSTRA GÖTALANDS LÄN</t>
        </is>
      </c>
      <c r="G47" t="inlineStr">
        <is>
          <t>TJÖRN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2026-08-19T01:48:31Z</dcterms:created>
  <dcterms:modified xmlns:dcterms="http://purl.org/dc/terms/" xmlns:xsi="http://www.w3.org/2001/XMLSchema-instance" xsi:type="dcterms:W3CDTF">2026-08-19T01:48:31Z</dcterms:modified>
</cp:coreProperties>
</file>