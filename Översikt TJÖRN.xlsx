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46222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Slåttergubbe</t>
        </is>
      </c>
      <c r="V5">
        <f>HYPERLINK("https://klasma.github.io/Logging_1419/artfynd/A 10354-2026 artfynd.xlsx", "A 10354-2026")</f>
        <v/>
      </c>
      <c r="W5">
        <f>HYPERLINK("https://klasma.github.io/Logging_1419/kartor/A 10354-2026 karta.png", "A 10354-2026")</f>
        <v/>
      </c>
      <c r="Y5">
        <f>HYPERLINK("https://klasma.github.io/Logging_1419/klagomål/A 10354-2026 FSC-klagomål.docx", "A 10354-2026")</f>
        <v/>
      </c>
      <c r="Z5">
        <f>HYPERLINK("https://klasma.github.io/Logging_1419/klagomålsmail/A 10354-2026 FSC-klagomål mail.docx", "A 10354-2026")</f>
        <v/>
      </c>
      <c r="AA5">
        <f>HYPERLINK("https://klasma.github.io/Logging_1419/tillsyn/A 10354-2026 tillsynsbegäran.docx", "A 10354-2026")</f>
        <v/>
      </c>
      <c r="AB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46222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HYPERLINK("https://klasma.github.io/Logging_1419/artfynd/A 11250-2026 artfynd.xlsx", "A 11250-2026")</f>
        <v/>
      </c>
      <c r="W6">
        <f>HYPERLINK("https://klasma.github.io/Logging_1419/kartor/A 11250-2026 karta.png", "A 11250-2026")</f>
        <v/>
      </c>
      <c r="Y6">
        <f>HYPERLINK("https://klasma.github.io/Logging_1419/klagomål/A 11250-2026 FSC-klagomål.docx", "A 11250-2026")</f>
        <v/>
      </c>
      <c r="Z6">
        <f>HYPERLINK("https://klasma.github.io/Logging_1419/klagomålsmail/A 11250-2026 FSC-klagomål mail.docx", "A 11250-2026")</f>
        <v/>
      </c>
      <c r="AA6">
        <f>HYPERLINK("https://klasma.github.io/Logging_1419/tillsyn/A 11250-2026 tillsynsbegäran.docx", "A 11250-2026")</f>
        <v/>
      </c>
      <c r="AB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46222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Strutbräken</t>
        </is>
      </c>
      <c r="V7">
        <f>HYPERLINK("https://klasma.github.io/Logging_1419/artfynd/A 11240-2026 artfynd.xlsx", "A 11240-2026")</f>
        <v/>
      </c>
      <c r="W7">
        <f>HYPERLINK("https://klasma.github.io/Logging_1419/kartor/A 11240-2026 karta.png", "A 11240-2026")</f>
        <v/>
      </c>
      <c r="Y7">
        <f>HYPERLINK("https://klasma.github.io/Logging_1419/klagomål/A 11240-2026 FSC-klagomål.docx", "A 11240-2026")</f>
        <v/>
      </c>
      <c r="Z7">
        <f>HYPERLINK("https://klasma.github.io/Logging_1419/klagomålsmail/A 11240-2026 FSC-klagomål mail.docx", "A 11240-2026")</f>
        <v/>
      </c>
      <c r="AA7">
        <f>HYPERLINK("https://klasma.github.io/Logging_1419/tillsyn/A 11240-2026 tillsynsbegäran.docx", "A 11240-2026")</f>
        <v/>
      </c>
      <c r="AB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46222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Äkta lopplummer</t>
        </is>
      </c>
      <c r="V8">
        <f>HYPERLINK("https://klasma.github.io/Logging_1419/artfynd/A 889-2026 artfynd.xlsx", "A 889-2026")</f>
        <v/>
      </c>
      <c r="W8">
        <f>HYPERLINK("https://klasma.github.io/Logging_1419/kartor/A 889-2026 karta.png", "A 889-2026")</f>
        <v/>
      </c>
      <c r="Y8">
        <f>HYPERLINK("https://klasma.github.io/Logging_1419/klagomål/A 889-2026 FSC-klagomål.docx", "A 889-2026")</f>
        <v/>
      </c>
      <c r="Z8">
        <f>HYPERLINK("https://klasma.github.io/Logging_1419/klagomålsmail/A 889-2026 FSC-klagomål mail.docx", "A 889-2026")</f>
        <v/>
      </c>
      <c r="AA8">
        <f>HYPERLINK("https://klasma.github.io/Logging_1419/tillsyn/A 889-2026 tillsynsbegäran.docx", "A 889-2026")</f>
        <v/>
      </c>
      <c r="AB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46222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Blågrönt mannagräs</t>
        </is>
      </c>
      <c r="V9">
        <f>HYPERLINK("https://klasma.github.io/Logging_1419/artfynd/A 34591-2022 artfynd.xlsx", "A 34591-2022")</f>
        <v/>
      </c>
      <c r="W9">
        <f>HYPERLINK("https://klasma.github.io/Logging_1419/kartor/A 34591-2022 karta.png", "A 34591-2022")</f>
        <v/>
      </c>
      <c r="Y9">
        <f>HYPERLINK("https://klasma.github.io/Logging_1419/klagomål/A 34591-2022 FSC-klagomål.docx", "A 34591-2022")</f>
        <v/>
      </c>
      <c r="Z9">
        <f>HYPERLINK("https://klasma.github.io/Logging_1419/klagomålsmail/A 34591-2022 FSC-klagomål mail.docx", "A 34591-2022")</f>
        <v/>
      </c>
      <c r="AA9">
        <f>HYPERLINK("https://klasma.github.io/Logging_1419/tillsyn/A 34591-2022 tillsynsbegäran.docx", "A 34591-2022")</f>
        <v/>
      </c>
      <c r="AB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46222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46222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46222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57410-2022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46222</v>
      </c>
      <c r="F13" t="inlineStr">
        <is>
          <t>VÄSTRA GÖTALANDS LÄN</t>
        </is>
      </c>
      <c r="G13" t="inlineStr">
        <is>
          <t>TJÖRN</t>
        </is>
      </c>
      <c r="I13" t="n">
        <v>7.5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46222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46222</v>
      </c>
      <c r="F15" t="inlineStr">
        <is>
          <t>VÄSTRA GÖTALANDS LÄN</t>
        </is>
      </c>
      <c r="G15" t="inlineStr">
        <is>
          <t>TJÖRN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42462-2025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46222</v>
      </c>
      <c r="F16" t="inlineStr">
        <is>
          <t>VÄSTRA GÖTALANDS LÄN</t>
        </is>
      </c>
      <c r="G16" t="inlineStr">
        <is>
          <t>TJÖRN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46222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46222</v>
      </c>
      <c r="F18" t="inlineStr">
        <is>
          <t>VÄSTRA GÖTALANDS LÄN</t>
        </is>
      </c>
      <c r="G18" t="inlineStr">
        <is>
          <t>TJÖRN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46222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46222</v>
      </c>
      <c r="F20" t="inlineStr">
        <is>
          <t>VÄSTRA GÖTALANDS LÄN</t>
        </is>
      </c>
      <c r="G20" t="inlineStr">
        <is>
          <t>TJÖRN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45088-2025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46222</v>
      </c>
      <c r="F21" t="inlineStr">
        <is>
          <t>VÄSTRA GÖTALANDS LÄN</t>
        </is>
      </c>
      <c r="G21" t="inlineStr">
        <is>
          <t>TJÖRN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46222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34508-2025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45847</v>
      </c>
      <c r="E23" s="1" t="n">
        <v>46222</v>
      </c>
      <c r="F23" t="inlineStr">
        <is>
          <t>VÄSTRA GÖTALANDS LÄN</t>
        </is>
      </c>
      <c r="G23" t="inlineStr">
        <is>
          <t>TJÖRN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1379-2024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46222</v>
      </c>
      <c r="F24" t="inlineStr">
        <is>
          <t>VÄSTRA GÖTALANDS LÄN</t>
        </is>
      </c>
      <c r="G24" t="inlineStr">
        <is>
          <t>TJÖRN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46222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46222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46222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46222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45977</v>
      </c>
      <c r="E29" s="1" t="n">
        <v>46222</v>
      </c>
      <c r="F29" t="inlineStr">
        <is>
          <t>VÄSTRA GÖTALANDS LÄN</t>
        </is>
      </c>
      <c r="G29" t="inlineStr">
        <is>
          <t>TJÖRN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57655-2025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45981</v>
      </c>
      <c r="E30" s="1" t="n">
        <v>46222</v>
      </c>
      <c r="F30" t="inlineStr">
        <is>
          <t>VÄSTRA GÖTALANDS LÄN</t>
        </is>
      </c>
      <c r="G30" t="inlineStr">
        <is>
          <t>TJÖRN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44973</v>
      </c>
      <c r="E31" s="1" t="n">
        <v>46222</v>
      </c>
      <c r="F31" t="inlineStr">
        <is>
          <t>VÄSTRA GÖTALANDS LÄN</t>
        </is>
      </c>
      <c r="G31" t="inlineStr">
        <is>
          <t>TJÖRN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46222</v>
      </c>
      <c r="F32" t="inlineStr">
        <is>
          <t>VÄSTRA GÖTALANDS LÄN</t>
        </is>
      </c>
      <c r="G32" t="inlineStr">
        <is>
          <t>TJÖRN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46222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20193-2026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46222</v>
      </c>
      <c r="F34" t="inlineStr">
        <is>
          <t>VÄSTRA GÖTALANDS LÄN</t>
        </is>
      </c>
      <c r="G34" t="inlineStr">
        <is>
          <t>TJÖRN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63664-2023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46222</v>
      </c>
      <c r="F35" t="inlineStr">
        <is>
          <t>VÄSTRA GÖTALANDS LÄN</t>
        </is>
      </c>
      <c r="G35" t="inlineStr">
        <is>
          <t>TJÖRN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46222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46222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22419-2026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46222</v>
      </c>
      <c r="F38" t="inlineStr">
        <is>
          <t>VÄSTRA GÖTALANDS LÄN</t>
        </is>
      </c>
      <c r="G38" t="inlineStr">
        <is>
          <t>TJÖRN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46222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46222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46222</v>
      </c>
      <c r="F41" t="inlineStr">
        <is>
          <t>VÄSTRA GÖTALANDS LÄN</t>
        </is>
      </c>
      <c r="G41" t="inlineStr">
        <is>
          <t>TJÖRN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59192-2022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46222</v>
      </c>
      <c r="F42" t="inlineStr">
        <is>
          <t>VÄSTRA GÖTALANDS LÄN</t>
        </is>
      </c>
      <c r="G42" t="inlineStr">
        <is>
          <t>TJÖRN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44912</v>
      </c>
      <c r="E43" s="1" t="n">
        <v>46222</v>
      </c>
      <c r="F43" t="inlineStr">
        <is>
          <t>VÄSTRA GÖTALANDS LÄN</t>
        </is>
      </c>
      <c r="G43" t="inlineStr">
        <is>
          <t>TJÖRN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25725-2026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46222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25726-2026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46222</v>
      </c>
      <c r="F45" t="inlineStr">
        <is>
          <t>VÄSTRA GÖTALANDS LÄN</t>
        </is>
      </c>
      <c r="G45" t="inlineStr">
        <is>
          <t>TJÖRN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46222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46222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23295-2025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46222</v>
      </c>
      <c r="F48" t="inlineStr">
        <is>
          <t>VÄSTRA GÖTALANDS LÄN</t>
        </is>
      </c>
      <c r="G48" t="inlineStr">
        <is>
          <t>TJÖRN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2026-07-19T01:33:25Z</dcterms:created>
  <dcterms:modified xmlns:dcterms="http://purl.org/dc/terms/" xmlns:xsi="http://www.w3.org/2001/XMLSchema-instance" xsi:type="dcterms:W3CDTF">2026-07-19T01:33:25Z</dcterms:modified>
</cp:coreProperties>
</file>