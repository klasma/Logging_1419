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26114-2019</t>
        </is>
      </c>
      <c r="B2" s="1" t="n">
        <v>43609</v>
      </c>
      <c r="C2" s="1" t="n">
        <v>45359</v>
      </c>
      <c r="D2" t="inlineStr">
        <is>
          <t>VÄSTRA GÖTALANDS LÄN</t>
        </is>
      </c>
      <c r="E2" t="inlineStr">
        <is>
          <t>TJÖRN</t>
        </is>
      </c>
      <c r="G2" t="n">
        <v>6.9</v>
      </c>
      <c r="H2" t="n">
        <v>0</v>
      </c>
      <c r="I2" t="n">
        <v>0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2</v>
      </c>
      <c r="R2" s="2" t="inlineStr">
        <is>
          <t>Mindre ekbock
Sexfläckig blombock</t>
        </is>
      </c>
      <c r="S2">
        <f>HYPERLINK("https://klasma.github.io/Logging_1419/artfynd/A 26114-2019 artfynd.xlsx", "A 26114-2019")</f>
        <v/>
      </c>
      <c r="T2">
        <f>HYPERLINK("https://klasma.github.io/Logging_1419/kartor/A 26114-2019 karta.png", "A 26114-2019")</f>
        <v/>
      </c>
      <c r="V2">
        <f>HYPERLINK("https://klasma.github.io/Logging_1419/klagomål/A 26114-2019 FSC-klagomål.docx", "A 26114-2019")</f>
        <v/>
      </c>
      <c r="W2">
        <f>HYPERLINK("https://klasma.github.io/Logging_1419/klagomålsmail/A 26114-2019 FSC-klagomål mail.docx", "A 26114-2019")</f>
        <v/>
      </c>
      <c r="X2">
        <f>HYPERLINK("https://klasma.github.io/Logging_1419/tillsyn/A 26114-2019 tillsynsbegäran.docx", "A 26114-2019")</f>
        <v/>
      </c>
      <c r="Y2">
        <f>HYPERLINK("https://klasma.github.io/Logging_1419/tillsynsmail/A 26114-2019 tillsynsbegäran mail.docx", "A 26114-2019")</f>
        <v/>
      </c>
    </row>
    <row r="3" ht="15" customHeight="1">
      <c r="A3" t="inlineStr">
        <is>
          <t>A 2233-2020</t>
        </is>
      </c>
      <c r="B3" s="1" t="n">
        <v>43846</v>
      </c>
      <c r="C3" s="1" t="n">
        <v>45359</v>
      </c>
      <c r="D3" t="inlineStr">
        <is>
          <t>VÄSTRA GÖTALANDS LÄN</t>
        </is>
      </c>
      <c r="E3" t="inlineStr">
        <is>
          <t>TJÖRN</t>
        </is>
      </c>
      <c r="G3" t="n">
        <v>2.3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Klippfrullania
Rostfläck</t>
        </is>
      </c>
      <c r="S3">
        <f>HYPERLINK("https://klasma.github.io/Logging_1419/artfynd/A 2233-2020 artfynd.xlsx", "A 2233-2020")</f>
        <v/>
      </c>
      <c r="T3">
        <f>HYPERLINK("https://klasma.github.io/Logging_1419/kartor/A 2233-2020 karta.png", "A 2233-2020")</f>
        <v/>
      </c>
      <c r="V3">
        <f>HYPERLINK("https://klasma.github.io/Logging_1419/klagomål/A 2233-2020 FSC-klagomål.docx", "A 2233-2020")</f>
        <v/>
      </c>
      <c r="W3">
        <f>HYPERLINK("https://klasma.github.io/Logging_1419/klagomålsmail/A 2233-2020 FSC-klagomål mail.docx", "A 2233-2020")</f>
        <v/>
      </c>
      <c r="X3">
        <f>HYPERLINK("https://klasma.github.io/Logging_1419/tillsyn/A 2233-2020 tillsynsbegäran.docx", "A 2233-2020")</f>
        <v/>
      </c>
      <c r="Y3">
        <f>HYPERLINK("https://klasma.github.io/Logging_1419/tillsynsmail/A 2233-2020 tillsynsbegäran mail.docx", "A 2233-2020")</f>
        <v/>
      </c>
    </row>
    <row r="4" ht="15" customHeight="1">
      <c r="A4" t="inlineStr">
        <is>
          <t>A 44608-2020</t>
        </is>
      </c>
      <c r="B4" s="1" t="n">
        <v>44085</v>
      </c>
      <c r="C4" s="1" t="n">
        <v>45359</v>
      </c>
      <c r="D4" t="inlineStr">
        <is>
          <t>VÄSTRA GÖTALANDS LÄN</t>
        </is>
      </c>
      <c r="E4" t="inlineStr">
        <is>
          <t>TJÖRN</t>
        </is>
      </c>
      <c r="G4" t="n">
        <v>4.6</v>
      </c>
      <c r="H4" t="n">
        <v>2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Krypfloka
Lopplummer</t>
        </is>
      </c>
      <c r="S4">
        <f>HYPERLINK("https://klasma.github.io/Logging_1419/artfynd/A 44608-2020 artfynd.xlsx", "A 44608-2020")</f>
        <v/>
      </c>
      <c r="T4">
        <f>HYPERLINK("https://klasma.github.io/Logging_1419/kartor/A 44608-2020 karta.png", "A 44608-2020")</f>
        <v/>
      </c>
      <c r="V4">
        <f>HYPERLINK("https://klasma.github.io/Logging_1419/klagomål/A 44608-2020 FSC-klagomål.docx", "A 44608-2020")</f>
        <v/>
      </c>
      <c r="W4">
        <f>HYPERLINK("https://klasma.github.io/Logging_1419/klagomålsmail/A 44608-2020 FSC-klagomål mail.docx", "A 44608-2020")</f>
        <v/>
      </c>
      <c r="X4">
        <f>HYPERLINK("https://klasma.github.io/Logging_1419/tillsyn/A 44608-2020 tillsynsbegäran.docx", "A 44608-2020")</f>
        <v/>
      </c>
      <c r="Y4">
        <f>HYPERLINK("https://klasma.github.io/Logging_1419/tillsynsmail/A 44608-2020 tillsynsbegäran mail.docx", "A 44608-2020")</f>
        <v/>
      </c>
    </row>
    <row r="5" ht="15" customHeight="1">
      <c r="A5" t="inlineStr">
        <is>
          <t>A 61679-2018</t>
        </is>
      </c>
      <c r="B5" s="1" t="n">
        <v>43425</v>
      </c>
      <c r="C5" s="1" t="n">
        <v>45359</v>
      </c>
      <c r="D5" t="inlineStr">
        <is>
          <t>VÄSTRA GÖTALANDS LÄN</t>
        </is>
      </c>
      <c r="E5" t="inlineStr">
        <is>
          <t>TJÖRN</t>
        </is>
      </c>
      <c r="G5" t="n">
        <v>4</v>
      </c>
      <c r="H5" t="n">
        <v>1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Sångsvan</t>
        </is>
      </c>
      <c r="S5">
        <f>HYPERLINK("https://klasma.github.io/Logging_1419/artfynd/A 61679-2018 artfynd.xlsx", "A 61679-2018")</f>
        <v/>
      </c>
      <c r="T5">
        <f>HYPERLINK("https://klasma.github.io/Logging_1419/kartor/A 61679-2018 karta.png", "A 61679-2018")</f>
        <v/>
      </c>
      <c r="V5">
        <f>HYPERLINK("https://klasma.github.io/Logging_1419/klagomål/A 61679-2018 FSC-klagomål.docx", "A 61679-2018")</f>
        <v/>
      </c>
      <c r="W5">
        <f>HYPERLINK("https://klasma.github.io/Logging_1419/klagomålsmail/A 61679-2018 FSC-klagomål mail.docx", "A 61679-2018")</f>
        <v/>
      </c>
      <c r="X5">
        <f>HYPERLINK("https://klasma.github.io/Logging_1419/tillsyn/A 61679-2018 tillsynsbegäran.docx", "A 61679-2018")</f>
        <v/>
      </c>
      <c r="Y5">
        <f>HYPERLINK("https://klasma.github.io/Logging_1419/tillsynsmail/A 61679-2018 tillsynsbegäran mail.docx", "A 61679-2018")</f>
        <v/>
      </c>
      <c r="Z5">
        <f>HYPERLINK("https://klasma.github.io/Logging_1419/fåglar/A 61679-2018 prioriterade fågelarter.docx", "A 61679-2018")</f>
        <v/>
      </c>
    </row>
    <row r="6" ht="15" customHeight="1">
      <c r="A6" t="inlineStr">
        <is>
          <t>A 8657-2019</t>
        </is>
      </c>
      <c r="B6" s="1" t="n">
        <v>43503</v>
      </c>
      <c r="C6" s="1" t="n">
        <v>45359</v>
      </c>
      <c r="D6" t="inlineStr">
        <is>
          <t>VÄSTRA GÖTALANDS LÄN</t>
        </is>
      </c>
      <c r="E6" t="inlineStr">
        <is>
          <t>TJÖRN</t>
        </is>
      </c>
      <c r="G6" t="n">
        <v>3.6</v>
      </c>
      <c r="H6" t="n">
        <v>0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Backtimjan</t>
        </is>
      </c>
      <c r="S6">
        <f>HYPERLINK("https://klasma.github.io/Logging_1419/artfynd/A 8657-2019 artfynd.xlsx", "A 8657-2019")</f>
        <v/>
      </c>
      <c r="T6">
        <f>HYPERLINK("https://klasma.github.io/Logging_1419/kartor/A 8657-2019 karta.png", "A 8657-2019")</f>
        <v/>
      </c>
      <c r="V6">
        <f>HYPERLINK("https://klasma.github.io/Logging_1419/klagomål/A 8657-2019 FSC-klagomål.docx", "A 8657-2019")</f>
        <v/>
      </c>
      <c r="W6">
        <f>HYPERLINK("https://klasma.github.io/Logging_1419/klagomålsmail/A 8657-2019 FSC-klagomål mail.docx", "A 8657-2019")</f>
        <v/>
      </c>
      <c r="X6">
        <f>HYPERLINK("https://klasma.github.io/Logging_1419/tillsyn/A 8657-2019 tillsynsbegäran.docx", "A 8657-2019")</f>
        <v/>
      </c>
      <c r="Y6">
        <f>HYPERLINK("https://klasma.github.io/Logging_1419/tillsynsmail/A 8657-2019 tillsynsbegäran mail.docx", "A 8657-2019")</f>
        <v/>
      </c>
    </row>
    <row r="7" ht="15" customHeight="1">
      <c r="A7" t="inlineStr">
        <is>
          <t>A 3272-2023</t>
        </is>
      </c>
      <c r="B7" s="1" t="n">
        <v>44949</v>
      </c>
      <c r="C7" s="1" t="n">
        <v>45359</v>
      </c>
      <c r="D7" t="inlineStr">
        <is>
          <t>VÄSTRA GÖTALANDS LÄN</t>
        </is>
      </c>
      <c r="E7" t="inlineStr">
        <is>
          <t>TJÖRN</t>
        </is>
      </c>
      <c r="G7" t="n">
        <v>8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Kambräken</t>
        </is>
      </c>
      <c r="S7">
        <f>HYPERLINK("https://klasma.github.io/Logging_1419/artfynd/A 3272-2023 artfynd.xlsx", "A 3272-2023")</f>
        <v/>
      </c>
      <c r="T7">
        <f>HYPERLINK("https://klasma.github.io/Logging_1419/kartor/A 3272-2023 karta.png", "A 3272-2023")</f>
        <v/>
      </c>
      <c r="V7">
        <f>HYPERLINK("https://klasma.github.io/Logging_1419/klagomål/A 3272-2023 FSC-klagomål.docx", "A 3272-2023")</f>
        <v/>
      </c>
      <c r="W7">
        <f>HYPERLINK("https://klasma.github.io/Logging_1419/klagomålsmail/A 3272-2023 FSC-klagomål mail.docx", "A 3272-2023")</f>
        <v/>
      </c>
      <c r="X7">
        <f>HYPERLINK("https://klasma.github.io/Logging_1419/tillsyn/A 3272-2023 tillsynsbegäran.docx", "A 3272-2023")</f>
        <v/>
      </c>
      <c r="Y7">
        <f>HYPERLINK("https://klasma.github.io/Logging_1419/tillsynsmail/A 3272-2023 tillsynsbegäran mail.docx", "A 3272-2023")</f>
        <v/>
      </c>
    </row>
    <row r="8" ht="15" customHeight="1">
      <c r="A8" t="inlineStr">
        <is>
          <t>A 669-2019</t>
        </is>
      </c>
      <c r="B8" s="1" t="n">
        <v>43469</v>
      </c>
      <c r="C8" s="1" t="n">
        <v>45359</v>
      </c>
      <c r="D8" t="inlineStr">
        <is>
          <t>VÄSTRA GÖTALANDS LÄN</t>
        </is>
      </c>
      <c r="E8" t="inlineStr">
        <is>
          <t>TJÖRN</t>
        </is>
      </c>
      <c r="G8" t="n">
        <v>1.2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1844-2019</t>
        </is>
      </c>
      <c r="B9" s="1" t="n">
        <v>43474</v>
      </c>
      <c r="C9" s="1" t="n">
        <v>45359</v>
      </c>
      <c r="D9" t="inlineStr">
        <is>
          <t>VÄSTRA GÖTALANDS LÄN</t>
        </is>
      </c>
      <c r="E9" t="inlineStr">
        <is>
          <t>TJÖRN</t>
        </is>
      </c>
      <c r="G9" t="n">
        <v>4.4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7122-2019</t>
        </is>
      </c>
      <c r="B10" s="1" t="n">
        <v>43496</v>
      </c>
      <c r="C10" s="1" t="n">
        <v>45359</v>
      </c>
      <c r="D10" t="inlineStr">
        <is>
          <t>VÄSTRA GÖTALANDS LÄN</t>
        </is>
      </c>
      <c r="E10" t="inlineStr">
        <is>
          <t>TJÖRN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8659-2019</t>
        </is>
      </c>
      <c r="B11" s="1" t="n">
        <v>43503</v>
      </c>
      <c r="C11" s="1" t="n">
        <v>45359</v>
      </c>
      <c r="D11" t="inlineStr">
        <is>
          <t>VÄSTRA GÖTALANDS LÄN</t>
        </is>
      </c>
      <c r="E11" t="inlineStr">
        <is>
          <t>TJÖRN</t>
        </is>
      </c>
      <c r="G11" t="n">
        <v>6.9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8656-2019</t>
        </is>
      </c>
      <c r="B12" s="1" t="n">
        <v>43503</v>
      </c>
      <c r="C12" s="1" t="n">
        <v>45359</v>
      </c>
      <c r="D12" t="inlineStr">
        <is>
          <t>VÄSTRA GÖTALANDS LÄN</t>
        </is>
      </c>
      <c r="E12" t="inlineStr">
        <is>
          <t>TJÖRN</t>
        </is>
      </c>
      <c r="G12" t="n">
        <v>0.7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8740-2019</t>
        </is>
      </c>
      <c r="B13" s="1" t="n">
        <v>43503</v>
      </c>
      <c r="C13" s="1" t="n">
        <v>45359</v>
      </c>
      <c r="D13" t="inlineStr">
        <is>
          <t>VÄSTRA GÖTALANDS LÄN</t>
        </is>
      </c>
      <c r="E13" t="inlineStr">
        <is>
          <t>TJÖRN</t>
        </is>
      </c>
      <c r="G13" t="n">
        <v>0.4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8597-2019</t>
        </is>
      </c>
      <c r="B14" s="1" t="n">
        <v>43503</v>
      </c>
      <c r="C14" s="1" t="n">
        <v>45359</v>
      </c>
      <c r="D14" t="inlineStr">
        <is>
          <t>VÄSTRA GÖTALANDS LÄN</t>
        </is>
      </c>
      <c r="E14" t="inlineStr">
        <is>
          <t>TJÖRN</t>
        </is>
      </c>
      <c r="G14" t="n">
        <v>13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11683-2019</t>
        </is>
      </c>
      <c r="B15" s="1" t="n">
        <v>43518</v>
      </c>
      <c r="C15" s="1" t="n">
        <v>45359</v>
      </c>
      <c r="D15" t="inlineStr">
        <is>
          <t>VÄSTRA GÖTALANDS LÄN</t>
        </is>
      </c>
      <c r="E15" t="inlineStr">
        <is>
          <t>TJÖRN</t>
        </is>
      </c>
      <c r="G15" t="n">
        <v>1.6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11827-2019</t>
        </is>
      </c>
      <c r="B16" s="1" t="n">
        <v>43519</v>
      </c>
      <c r="C16" s="1" t="n">
        <v>45359</v>
      </c>
      <c r="D16" t="inlineStr">
        <is>
          <t>VÄSTRA GÖTALANDS LÄN</t>
        </is>
      </c>
      <c r="E16" t="inlineStr">
        <is>
          <t>TJÖRN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34044-2019</t>
        </is>
      </c>
      <c r="B17" s="1" t="n">
        <v>43654</v>
      </c>
      <c r="C17" s="1" t="n">
        <v>45359</v>
      </c>
      <c r="D17" t="inlineStr">
        <is>
          <t>VÄSTRA GÖTALANDS LÄN</t>
        </is>
      </c>
      <c r="E17" t="inlineStr">
        <is>
          <t>TJÖRN</t>
        </is>
      </c>
      <c r="G17" t="n">
        <v>8.199999999999999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34706-2019</t>
        </is>
      </c>
      <c r="B18" s="1" t="n">
        <v>43657</v>
      </c>
      <c r="C18" s="1" t="n">
        <v>45359</v>
      </c>
      <c r="D18" t="inlineStr">
        <is>
          <t>VÄSTRA GÖTALANDS LÄN</t>
        </is>
      </c>
      <c r="E18" t="inlineStr">
        <is>
          <t>TJÖRN</t>
        </is>
      </c>
      <c r="G18" t="n">
        <v>0.8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54299-2019</t>
        </is>
      </c>
      <c r="B19" s="1" t="n">
        <v>43753</v>
      </c>
      <c r="C19" s="1" t="n">
        <v>45359</v>
      </c>
      <c r="D19" t="inlineStr">
        <is>
          <t>VÄSTRA GÖTALANDS LÄN</t>
        </is>
      </c>
      <c r="E19" t="inlineStr">
        <is>
          <t>TJÖRN</t>
        </is>
      </c>
      <c r="G19" t="n">
        <v>1.7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68821-2019</t>
        </is>
      </c>
      <c r="B20" s="1" t="n">
        <v>43819</v>
      </c>
      <c r="C20" s="1" t="n">
        <v>45359</v>
      </c>
      <c r="D20" t="inlineStr">
        <is>
          <t>VÄSTRA GÖTALANDS LÄN</t>
        </is>
      </c>
      <c r="E20" t="inlineStr">
        <is>
          <t>TJÖRN</t>
        </is>
      </c>
      <c r="G20" t="n">
        <v>4.6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1369-2020</t>
        </is>
      </c>
      <c r="B21" s="1" t="n">
        <v>43843</v>
      </c>
      <c r="C21" s="1" t="n">
        <v>45359</v>
      </c>
      <c r="D21" t="inlineStr">
        <is>
          <t>VÄSTRA GÖTALANDS LÄN</t>
        </is>
      </c>
      <c r="E21" t="inlineStr">
        <is>
          <t>TJÖRN</t>
        </is>
      </c>
      <c r="G21" t="n">
        <v>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2224-2020</t>
        </is>
      </c>
      <c r="B22" s="1" t="n">
        <v>43846</v>
      </c>
      <c r="C22" s="1" t="n">
        <v>45359</v>
      </c>
      <c r="D22" t="inlineStr">
        <is>
          <t>VÄSTRA GÖTALANDS LÄN</t>
        </is>
      </c>
      <c r="E22" t="inlineStr">
        <is>
          <t>TJÖRN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5452-2020</t>
        </is>
      </c>
      <c r="B23" s="1" t="n">
        <v>43859</v>
      </c>
      <c r="C23" s="1" t="n">
        <v>45359</v>
      </c>
      <c r="D23" t="inlineStr">
        <is>
          <t>VÄSTRA GÖTALANDS LÄN</t>
        </is>
      </c>
      <c r="E23" t="inlineStr">
        <is>
          <t>TJÖRN</t>
        </is>
      </c>
      <c r="G23" t="n">
        <v>2.5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5496-2020</t>
        </is>
      </c>
      <c r="B24" s="1" t="n">
        <v>43861</v>
      </c>
      <c r="C24" s="1" t="n">
        <v>45359</v>
      </c>
      <c r="D24" t="inlineStr">
        <is>
          <t>VÄSTRA GÖTALANDS LÄN</t>
        </is>
      </c>
      <c r="E24" t="inlineStr">
        <is>
          <t>TJÖRN</t>
        </is>
      </c>
      <c r="G24" t="n">
        <v>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19883-2020</t>
        </is>
      </c>
      <c r="B25" s="1" t="n">
        <v>43941</v>
      </c>
      <c r="C25" s="1" t="n">
        <v>45359</v>
      </c>
      <c r="D25" t="inlineStr">
        <is>
          <t>VÄSTRA GÖTALANDS LÄN</t>
        </is>
      </c>
      <c r="E25" t="inlineStr">
        <is>
          <t>TJÖRN</t>
        </is>
      </c>
      <c r="G25" t="n">
        <v>2.9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31792-2020</t>
        </is>
      </c>
      <c r="B26" s="1" t="n">
        <v>44014</v>
      </c>
      <c r="C26" s="1" t="n">
        <v>45359</v>
      </c>
      <c r="D26" t="inlineStr">
        <is>
          <t>VÄSTRA GÖTALANDS LÄN</t>
        </is>
      </c>
      <c r="E26" t="inlineStr">
        <is>
          <t>TJÖRN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31795-2020</t>
        </is>
      </c>
      <c r="B27" s="1" t="n">
        <v>44014</v>
      </c>
      <c r="C27" s="1" t="n">
        <v>45359</v>
      </c>
      <c r="D27" t="inlineStr">
        <is>
          <t>VÄSTRA GÖTALANDS LÄN</t>
        </is>
      </c>
      <c r="E27" t="inlineStr">
        <is>
          <t>TJÖRN</t>
        </is>
      </c>
      <c r="G27" t="n">
        <v>4.8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43727-2020</t>
        </is>
      </c>
      <c r="B28" s="1" t="n">
        <v>44082</v>
      </c>
      <c r="C28" s="1" t="n">
        <v>45359</v>
      </c>
      <c r="D28" t="inlineStr">
        <is>
          <t>VÄSTRA GÖTALANDS LÄN</t>
        </is>
      </c>
      <c r="E28" t="inlineStr">
        <is>
          <t>TJÖRN</t>
        </is>
      </c>
      <c r="G28" t="n">
        <v>3.1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44357-2020</t>
        </is>
      </c>
      <c r="B29" s="1" t="n">
        <v>44084</v>
      </c>
      <c r="C29" s="1" t="n">
        <v>45359</v>
      </c>
      <c r="D29" t="inlineStr">
        <is>
          <t>VÄSTRA GÖTALANDS LÄN</t>
        </is>
      </c>
      <c r="E29" t="inlineStr">
        <is>
          <t>TJÖRN</t>
        </is>
      </c>
      <c r="G29" t="n">
        <v>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44612-2020</t>
        </is>
      </c>
      <c r="B30" s="1" t="n">
        <v>44085</v>
      </c>
      <c r="C30" s="1" t="n">
        <v>45359</v>
      </c>
      <c r="D30" t="inlineStr">
        <is>
          <t>VÄSTRA GÖTALANDS LÄN</t>
        </is>
      </c>
      <c r="E30" t="inlineStr">
        <is>
          <t>TJÖRN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45195-2020</t>
        </is>
      </c>
      <c r="B31" s="1" t="n">
        <v>44088</v>
      </c>
      <c r="C31" s="1" t="n">
        <v>45359</v>
      </c>
      <c r="D31" t="inlineStr">
        <is>
          <t>VÄSTRA GÖTALANDS LÄN</t>
        </is>
      </c>
      <c r="E31" t="inlineStr">
        <is>
          <t>TJÖRN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45197-2020</t>
        </is>
      </c>
      <c r="B32" s="1" t="n">
        <v>44088</v>
      </c>
      <c r="C32" s="1" t="n">
        <v>45359</v>
      </c>
      <c r="D32" t="inlineStr">
        <is>
          <t>VÄSTRA GÖTALANDS LÄN</t>
        </is>
      </c>
      <c r="E32" t="inlineStr">
        <is>
          <t>TJÖRN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47900-2020</t>
        </is>
      </c>
      <c r="B33" s="1" t="n">
        <v>44099</v>
      </c>
      <c r="C33" s="1" t="n">
        <v>45359</v>
      </c>
      <c r="D33" t="inlineStr">
        <is>
          <t>VÄSTRA GÖTALANDS LÄN</t>
        </is>
      </c>
      <c r="E33" t="inlineStr">
        <is>
          <t>TJÖRN</t>
        </is>
      </c>
      <c r="G33" t="n">
        <v>6.9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49374-2020</t>
        </is>
      </c>
      <c r="B34" s="1" t="n">
        <v>44105</v>
      </c>
      <c r="C34" s="1" t="n">
        <v>45359</v>
      </c>
      <c r="D34" t="inlineStr">
        <is>
          <t>VÄSTRA GÖTALANDS LÄN</t>
        </is>
      </c>
      <c r="E34" t="inlineStr">
        <is>
          <t>TJÖRN</t>
        </is>
      </c>
      <c r="G34" t="n">
        <v>6.2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52415-2020</t>
        </is>
      </c>
      <c r="B35" s="1" t="n">
        <v>44118</v>
      </c>
      <c r="C35" s="1" t="n">
        <v>45359</v>
      </c>
      <c r="D35" t="inlineStr">
        <is>
          <t>VÄSTRA GÖTALANDS LÄN</t>
        </is>
      </c>
      <c r="E35" t="inlineStr">
        <is>
          <t>TJÖRN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1849-2021</t>
        </is>
      </c>
      <c r="B36" s="1" t="n">
        <v>44210</v>
      </c>
      <c r="C36" s="1" t="n">
        <v>45359</v>
      </c>
      <c r="D36" t="inlineStr">
        <is>
          <t>VÄSTRA GÖTALANDS LÄN</t>
        </is>
      </c>
      <c r="E36" t="inlineStr">
        <is>
          <t>TJÖRN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2919-2021</t>
        </is>
      </c>
      <c r="B37" s="1" t="n">
        <v>44216</v>
      </c>
      <c r="C37" s="1" t="n">
        <v>45359</v>
      </c>
      <c r="D37" t="inlineStr">
        <is>
          <t>VÄSTRA GÖTALANDS LÄN</t>
        </is>
      </c>
      <c r="E37" t="inlineStr">
        <is>
          <t>TJÖRN</t>
        </is>
      </c>
      <c r="F37" t="inlineStr">
        <is>
          <t>Kommuner</t>
        </is>
      </c>
      <c r="G37" t="n">
        <v>2.9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31486-2021</t>
        </is>
      </c>
      <c r="B38" s="1" t="n">
        <v>44369</v>
      </c>
      <c r="C38" s="1" t="n">
        <v>45359</v>
      </c>
      <c r="D38" t="inlineStr">
        <is>
          <t>VÄSTRA GÖTALANDS LÄN</t>
        </is>
      </c>
      <c r="E38" t="inlineStr">
        <is>
          <t>TJÖRN</t>
        </is>
      </c>
      <c r="G38" t="n">
        <v>4.8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34591-2022</t>
        </is>
      </c>
      <c r="B39" s="1" t="n">
        <v>44795</v>
      </c>
      <c r="C39" s="1" t="n">
        <v>45359</v>
      </c>
      <c r="D39" t="inlineStr">
        <is>
          <t>VÄSTRA GÖTALANDS LÄN</t>
        </is>
      </c>
      <c r="E39" t="inlineStr">
        <is>
          <t>TJÖRN</t>
        </is>
      </c>
      <c r="G39" t="n">
        <v>2.5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57410-2022</t>
        </is>
      </c>
      <c r="B40" s="1" t="n">
        <v>44896</v>
      </c>
      <c r="C40" s="1" t="n">
        <v>45359</v>
      </c>
      <c r="D40" t="inlineStr">
        <is>
          <t>VÄSTRA GÖTALANDS LÄN</t>
        </is>
      </c>
      <c r="E40" t="inlineStr">
        <is>
          <t>TJÖRN</t>
        </is>
      </c>
      <c r="G40" t="n">
        <v>7.5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59192-2022</t>
        </is>
      </c>
      <c r="B41" s="1" t="n">
        <v>44896</v>
      </c>
      <c r="C41" s="1" t="n">
        <v>45359</v>
      </c>
      <c r="D41" t="inlineStr">
        <is>
          <t>VÄSTRA GÖTALANDS LÄN</t>
        </is>
      </c>
      <c r="E41" t="inlineStr">
        <is>
          <t>TJÖRN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60392-2022</t>
        </is>
      </c>
      <c r="B42" s="1" t="n">
        <v>44910</v>
      </c>
      <c r="C42" s="1" t="n">
        <v>45359</v>
      </c>
      <c r="D42" t="inlineStr">
        <is>
          <t>VÄSTRA GÖTALANDS LÄN</t>
        </is>
      </c>
      <c r="E42" t="inlineStr">
        <is>
          <t>TJÖRN</t>
        </is>
      </c>
      <c r="G42" t="n">
        <v>4.1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60718-2022</t>
        </is>
      </c>
      <c r="B43" s="1" t="n">
        <v>44912</v>
      </c>
      <c r="C43" s="1" t="n">
        <v>45359</v>
      </c>
      <c r="D43" t="inlineStr">
        <is>
          <t>VÄSTRA GÖTALANDS LÄN</t>
        </is>
      </c>
      <c r="E43" t="inlineStr">
        <is>
          <t>TJÖRN</t>
        </is>
      </c>
      <c r="G43" t="n">
        <v>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60717-2022</t>
        </is>
      </c>
      <c r="B44" s="1" t="n">
        <v>44912</v>
      </c>
      <c r="C44" s="1" t="n">
        <v>45359</v>
      </c>
      <c r="D44" t="inlineStr">
        <is>
          <t>VÄSTRA GÖTALANDS LÄN</t>
        </is>
      </c>
      <c r="E44" t="inlineStr">
        <is>
          <t>TJÖRN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769-2023</t>
        </is>
      </c>
      <c r="B45" s="1" t="n">
        <v>44931</v>
      </c>
      <c r="C45" s="1" t="n">
        <v>45359</v>
      </c>
      <c r="D45" t="inlineStr">
        <is>
          <t>VÄSTRA GÖTALANDS LÄN</t>
        </is>
      </c>
      <c r="E45" t="inlineStr">
        <is>
          <t>TJÖRN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1486-2023</t>
        </is>
      </c>
      <c r="B46" s="1" t="n">
        <v>44937</v>
      </c>
      <c r="C46" s="1" t="n">
        <v>45359</v>
      </c>
      <c r="D46" t="inlineStr">
        <is>
          <t>VÄSTRA GÖTALANDS LÄN</t>
        </is>
      </c>
      <c r="E46" t="inlineStr">
        <is>
          <t>TJÖRN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7787-2023</t>
        </is>
      </c>
      <c r="B47" s="1" t="n">
        <v>44973</v>
      </c>
      <c r="C47" s="1" t="n">
        <v>45359</v>
      </c>
      <c r="D47" t="inlineStr">
        <is>
          <t>VÄSTRA GÖTALANDS LÄN</t>
        </is>
      </c>
      <c r="E47" t="inlineStr">
        <is>
          <t>TJÖRN</t>
        </is>
      </c>
      <c r="G47" t="n">
        <v>5.7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7791-2023</t>
        </is>
      </c>
      <c r="B48" s="1" t="n">
        <v>44973</v>
      </c>
      <c r="C48" s="1" t="n">
        <v>45359</v>
      </c>
      <c r="D48" t="inlineStr">
        <is>
          <t>VÄSTRA GÖTALANDS LÄN</t>
        </is>
      </c>
      <c r="E48" t="inlineStr">
        <is>
          <t>TJÖRN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20828-2023</t>
        </is>
      </c>
      <c r="B49" s="1" t="n">
        <v>45058</v>
      </c>
      <c r="C49" s="1" t="n">
        <v>45359</v>
      </c>
      <c r="D49" t="inlineStr">
        <is>
          <t>VÄSTRA GÖTALANDS LÄN</t>
        </is>
      </c>
      <c r="E49" t="inlineStr">
        <is>
          <t>TJÖRN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21141-2023</t>
        </is>
      </c>
      <c r="B50" s="1" t="n">
        <v>45062</v>
      </c>
      <c r="C50" s="1" t="n">
        <v>45359</v>
      </c>
      <c r="D50" t="inlineStr">
        <is>
          <t>VÄSTRA GÖTALANDS LÄN</t>
        </is>
      </c>
      <c r="E50" t="inlineStr">
        <is>
          <t>TJÖRN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21379-2023</t>
        </is>
      </c>
      <c r="B51" s="1" t="n">
        <v>45063</v>
      </c>
      <c r="C51" s="1" t="n">
        <v>45359</v>
      </c>
      <c r="D51" t="inlineStr">
        <is>
          <t>VÄSTRA GÖTALANDS LÄN</t>
        </is>
      </c>
      <c r="E51" t="inlineStr">
        <is>
          <t>TJÖRN</t>
        </is>
      </c>
      <c r="G51" t="n">
        <v>5.8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34624-2023</t>
        </is>
      </c>
      <c r="B52" s="1" t="n">
        <v>45138</v>
      </c>
      <c r="C52" s="1" t="n">
        <v>45359</v>
      </c>
      <c r="D52" t="inlineStr">
        <is>
          <t>VÄSTRA GÖTALANDS LÄN</t>
        </is>
      </c>
      <c r="E52" t="inlineStr">
        <is>
          <t>TJÖRN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60793-2023</t>
        </is>
      </c>
      <c r="B53" s="1" t="n">
        <v>45260</v>
      </c>
      <c r="C53" s="1" t="n">
        <v>45359</v>
      </c>
      <c r="D53" t="inlineStr">
        <is>
          <t>VÄSTRA GÖTALANDS LÄN</t>
        </is>
      </c>
      <c r="E53" t="inlineStr">
        <is>
          <t>TJÖRN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63664-2023</t>
        </is>
      </c>
      <c r="B54" s="1" t="n">
        <v>45275</v>
      </c>
      <c r="C54" s="1" t="n">
        <v>45359</v>
      </c>
      <c r="D54" t="inlineStr">
        <is>
          <t>VÄSTRA GÖTALANDS LÄN</t>
        </is>
      </c>
      <c r="E54" t="inlineStr">
        <is>
          <t>TJÖRN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>
      <c r="A55" t="inlineStr">
        <is>
          <t>A 1379-2024</t>
        </is>
      </c>
      <c r="B55" s="1" t="n">
        <v>45303</v>
      </c>
      <c r="C55" s="1" t="n">
        <v>45359</v>
      </c>
      <c r="D55" t="inlineStr">
        <is>
          <t>VÄSTRA GÖTALANDS LÄN</t>
        </is>
      </c>
      <c r="E55" t="inlineStr">
        <is>
          <t>TJÖRN</t>
        </is>
      </c>
      <c r="F55" t="inlineStr">
        <is>
          <t>Kommuner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2024-03-08T13:55:25Z</dcterms:created>
  <dcterms:modified xmlns:dcterms="http://purl.org/dc/terms/" xmlns:xsi="http://www.w3.org/2001/XMLSchema-instance" xsi:type="dcterms:W3CDTF">2024-03-08T13:55:25Z</dcterms:modified>
</cp:coreProperties>
</file>