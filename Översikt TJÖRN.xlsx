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46191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46191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10354-2026</t>
        </is>
      </c>
      <c r="B6" s="1" t="n">
        <v>46075</v>
      </c>
      <c r="C6" s="1" t="n">
        <v>46191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HYPERLINK("https://klasma.github.io/Logging_1419/artfynd/A 10354-2026 artfynd.xlsx", "A 10354-2026")</f>
        <v/>
      </c>
      <c r="T6">
        <f>HYPERLINK("https://klasma.github.io/Logging_1419/kartor/A 10354-2026 karta.png", "A 10354-2026")</f>
        <v/>
      </c>
      <c r="V6">
        <f>HYPERLINK("https://klasma.github.io/Logging_1419/klagomål/A 10354-2026 FSC-klagomål.docx", "A 10354-2026")</f>
        <v/>
      </c>
      <c r="W6">
        <f>HYPERLINK("https://klasma.github.io/Logging_1419/klagomålsmail/A 10354-2026 FSC-klagomål mail.docx", "A 10354-2026")</f>
        <v/>
      </c>
      <c r="X6">
        <f>HYPERLINK("https://klasma.github.io/Logging_1419/tillsyn/A 10354-2026 tillsynsbegäran.docx", "A 10354-2026")</f>
        <v/>
      </c>
      <c r="Y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s="1" t="n">
        <v>46080</v>
      </c>
      <c r="C7" s="1" t="n">
        <v>46191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HYPERLINK("https://klasma.github.io/Logging_1419/artfynd/A 11250-2026 artfynd.xlsx", "A 11250-2026")</f>
        <v/>
      </c>
      <c r="T7">
        <f>HYPERLINK("https://klasma.github.io/Logging_1419/kartor/A 11250-2026 karta.png", "A 11250-2026")</f>
        <v/>
      </c>
      <c r="V7">
        <f>HYPERLINK("https://klasma.github.io/Logging_1419/klagomål/A 11250-2026 FSC-klagomål.docx", "A 11250-2026")</f>
        <v/>
      </c>
      <c r="W7">
        <f>HYPERLINK("https://klasma.github.io/Logging_1419/klagomålsmail/A 11250-2026 FSC-klagomål mail.docx", "A 11250-2026")</f>
        <v/>
      </c>
      <c r="X7">
        <f>HYPERLINK("https://klasma.github.io/Logging_1419/tillsyn/A 11250-2026 tillsynsbegäran.docx", "A 11250-2026")</f>
        <v/>
      </c>
      <c r="Y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s="1" t="n">
        <v>46080</v>
      </c>
      <c r="C8" s="1" t="n">
        <v>46191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HYPERLINK("https://klasma.github.io/Logging_1419/artfynd/A 11240-2026 artfynd.xlsx", "A 11240-2026")</f>
        <v/>
      </c>
      <c r="T8">
        <f>HYPERLINK("https://klasma.github.io/Logging_1419/kartor/A 11240-2026 karta.png", "A 11240-2026")</f>
        <v/>
      </c>
      <c r="V8">
        <f>HYPERLINK("https://klasma.github.io/Logging_1419/klagomål/A 11240-2026 FSC-klagomål.docx", "A 11240-2026")</f>
        <v/>
      </c>
      <c r="W8">
        <f>HYPERLINK("https://klasma.github.io/Logging_1419/klagomålsmail/A 11240-2026 FSC-klagomål mail.docx", "A 11240-2026")</f>
        <v/>
      </c>
      <c r="X8">
        <f>HYPERLINK("https://klasma.github.io/Logging_1419/tillsyn/A 11240-2026 tillsynsbegäran.docx", "A 11240-2026")</f>
        <v/>
      </c>
      <c r="Y8">
        <f>HYPERLINK("https://klasma.github.io/Logging_1419/tillsynsmail/A 11240-2026 tillsynsbegäran mail.docx", "A 11240-2026")</f>
        <v/>
      </c>
    </row>
    <row r="9" ht="15" customHeight="1">
      <c r="A9" t="inlineStr">
        <is>
          <t>A 889-2026</t>
        </is>
      </c>
      <c r="B9" s="1" t="n">
        <v>46029</v>
      </c>
      <c r="C9" s="1" t="n">
        <v>46191</v>
      </c>
      <c r="D9" t="inlineStr">
        <is>
          <t>VÄSTRA GÖTALANDS LÄN</t>
        </is>
      </c>
      <c r="E9" t="inlineStr">
        <is>
          <t>TJÖRN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HYPERLINK("https://klasma.github.io/Logging_1419/artfynd/A 889-2026 artfynd.xlsx", "A 889-2026")</f>
        <v/>
      </c>
      <c r="T9">
        <f>HYPERLINK("https://klasma.github.io/Logging_1419/kartor/A 889-2026 karta.png", "A 889-2026")</f>
        <v/>
      </c>
      <c r="V9">
        <f>HYPERLINK("https://klasma.github.io/Logging_1419/klagomål/A 889-2026 FSC-klagomål.docx", "A 889-2026")</f>
        <v/>
      </c>
      <c r="W9">
        <f>HYPERLINK("https://klasma.github.io/Logging_1419/klagomålsmail/A 889-2026 FSC-klagomål mail.docx", "A 889-2026")</f>
        <v/>
      </c>
      <c r="X9">
        <f>HYPERLINK("https://klasma.github.io/Logging_1419/tillsyn/A 889-2026 tillsynsbegäran.docx", "A 889-2026")</f>
        <v/>
      </c>
      <c r="Y9">
        <f>HYPERLINK("https://klasma.github.io/Logging_1419/tillsynsmail/A 889-2026 tillsynsbegäran mail.docx", "A 889-2026")</f>
        <v/>
      </c>
    </row>
    <row r="10" ht="15" customHeight="1">
      <c r="A10" t="inlineStr">
        <is>
          <t>A 2433-2026</t>
        </is>
      </c>
      <c r="B10" s="1" t="n">
        <v>46036</v>
      </c>
      <c r="C10" s="1" t="n">
        <v>46191</v>
      </c>
      <c r="D10" t="inlineStr">
        <is>
          <t>VÄSTRA GÖTALANDS LÄN</t>
        </is>
      </c>
      <c r="E10" t="inlineStr">
        <is>
          <t>TJÖRN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2434-2026</t>
        </is>
      </c>
      <c r="B11" s="1" t="n">
        <v>46036</v>
      </c>
      <c r="C11" s="1" t="n">
        <v>46191</v>
      </c>
      <c r="D11" t="inlineStr">
        <is>
          <t>VÄSTRA GÖTALANDS LÄN</t>
        </is>
      </c>
      <c r="E11" t="inlineStr">
        <is>
          <t>TJÖRN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</v>
      </c>
      <c r="C12" s="1" t="n">
        <v>46191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</v>
      </c>
      <c r="C13" s="1" t="n">
        <v>46191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</v>
      </c>
      <c r="C14" s="1" t="n">
        <v>46191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45088-2025</t>
        </is>
      </c>
      <c r="B15" s="1" t="n">
        <v>45919</v>
      </c>
      <c r="C15" s="1" t="n">
        <v>46191</v>
      </c>
      <c r="D15" t="inlineStr">
        <is>
          <t>VÄSTRA GÖTALANDS LÄN</t>
        </is>
      </c>
      <c r="E15" t="inlineStr">
        <is>
          <t>TJÖRN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</v>
      </c>
      <c r="C16" s="1" t="n">
        <v>46191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10340-2026</t>
        </is>
      </c>
      <c r="B17" s="1" t="n">
        <v>46075</v>
      </c>
      <c r="C17" s="1" t="n">
        <v>46191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11000-2026</t>
        </is>
      </c>
      <c r="B18" s="1" t="n">
        <v>46079</v>
      </c>
      <c r="C18" s="1" t="n">
        <v>46191</v>
      </c>
      <c r="D18" t="inlineStr">
        <is>
          <t>VÄSTRA GÖTALANDS LÄN</t>
        </is>
      </c>
      <c r="E18" t="inlineStr">
        <is>
          <t>TJÖRN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11042-2026</t>
        </is>
      </c>
      <c r="B19" s="1" t="n">
        <v>46079</v>
      </c>
      <c r="C19" s="1" t="n">
        <v>46191</v>
      </c>
      <c r="D19" t="inlineStr">
        <is>
          <t>VÄSTRA GÖTALANDS LÄN</t>
        </is>
      </c>
      <c r="E19" t="inlineStr">
        <is>
          <t>TJÖRN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1486-2023</t>
        </is>
      </c>
      <c r="B20" s="1" t="n">
        <v>44937</v>
      </c>
      <c r="C20" s="1" t="n">
        <v>46191</v>
      </c>
      <c r="D20" t="inlineStr">
        <is>
          <t>VÄSTRA GÖTALANDS LÄN</t>
        </is>
      </c>
      <c r="E20" t="inlineStr">
        <is>
          <t>TJÖRN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63664-2023</t>
        </is>
      </c>
      <c r="B21" s="1" t="n">
        <v>45275</v>
      </c>
      <c r="C21" s="1" t="n">
        <v>46191</v>
      </c>
      <c r="D21" t="inlineStr">
        <is>
          <t>VÄSTRA GÖTALANDS LÄN</t>
        </is>
      </c>
      <c r="E21" t="inlineStr">
        <is>
          <t>TJÖRN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60793-2023</t>
        </is>
      </c>
      <c r="B22" s="1" t="n">
        <v>45260</v>
      </c>
      <c r="C22" s="1" t="n">
        <v>46191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57955-2024</t>
        </is>
      </c>
      <c r="B23" s="1" t="n">
        <v>45631</v>
      </c>
      <c r="C23" s="1" t="n">
        <v>46191</v>
      </c>
      <c r="D23" t="inlineStr">
        <is>
          <t>VÄSTRA GÖTALANDS LÄN</t>
        </is>
      </c>
      <c r="E23" t="inlineStr">
        <is>
          <t>TJÖRN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46191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22419-2026</t>
        </is>
      </c>
      <c r="B25" s="1" t="n">
        <v>46154</v>
      </c>
      <c r="C25" s="1" t="n">
        <v>46191</v>
      </c>
      <c r="D25" t="inlineStr">
        <is>
          <t>VÄSTRA GÖTALANDS LÄN</t>
        </is>
      </c>
      <c r="E25" t="inlineStr">
        <is>
          <t>TJÖRN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</v>
      </c>
      <c r="C26" s="1" t="n">
        <v>46191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46191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18290-2026</t>
        </is>
      </c>
      <c r="B28" s="1" t="n">
        <v>46126</v>
      </c>
      <c r="C28" s="1" t="n">
        <v>46191</v>
      </c>
      <c r="D28" t="inlineStr">
        <is>
          <t>VÄSTRA GÖTALANDS LÄN</t>
        </is>
      </c>
      <c r="E28" t="inlineStr">
        <is>
          <t>TJÖRN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21141-2023</t>
        </is>
      </c>
      <c r="B29" s="1" t="n">
        <v>45062</v>
      </c>
      <c r="C29" s="1" t="n">
        <v>46191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25726-2026</t>
        </is>
      </c>
      <c r="B30" s="1" t="n">
        <v>46178</v>
      </c>
      <c r="C30" s="1" t="n">
        <v>46191</v>
      </c>
      <c r="D30" t="inlineStr">
        <is>
          <t>VÄSTRA GÖTALANDS LÄN</t>
        </is>
      </c>
      <c r="E30" t="inlineStr">
        <is>
          <t>TJÖRN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25725-2026</t>
        </is>
      </c>
      <c r="B31" s="1" t="n">
        <v>46178</v>
      </c>
      <c r="C31" s="1" t="n">
        <v>46191</v>
      </c>
      <c r="D31" t="inlineStr">
        <is>
          <t>VÄSTRA GÖTALANDS LÄN</t>
        </is>
      </c>
      <c r="E31" t="inlineStr">
        <is>
          <t>TJÖRN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46191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31486-2021</t>
        </is>
      </c>
      <c r="B33" s="1" t="n">
        <v>44369</v>
      </c>
      <c r="C33" s="1" t="n">
        <v>46191</v>
      </c>
      <c r="D33" t="inlineStr">
        <is>
          <t>VÄSTRA GÖTALANDS LÄN</t>
        </is>
      </c>
      <c r="E33" t="inlineStr">
        <is>
          <t>TJÖRN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20193-2026</t>
        </is>
      </c>
      <c r="B34" s="1" t="n">
        <v>46139</v>
      </c>
      <c r="C34" s="1" t="n">
        <v>46191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46191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46191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46191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60717-2022</t>
        </is>
      </c>
      <c r="B38" s="1" t="n">
        <v>44912</v>
      </c>
      <c r="C38" s="1" t="n">
        <v>46191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769-2023</t>
        </is>
      </c>
      <c r="B39" s="1" t="n">
        <v>44931</v>
      </c>
      <c r="C39" s="1" t="n">
        <v>46191</v>
      </c>
      <c r="D39" t="inlineStr">
        <is>
          <t>VÄSTRA GÖTALANDS LÄN</t>
        </is>
      </c>
      <c r="E39" t="inlineStr">
        <is>
          <t>TJÖRN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46191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7787-2023</t>
        </is>
      </c>
      <c r="B41" s="1" t="n">
        <v>44973</v>
      </c>
      <c r="C41" s="1" t="n">
        <v>46191</v>
      </c>
      <c r="D41" t="inlineStr">
        <is>
          <t>VÄSTRA GÖTALANDS LÄN</t>
        </is>
      </c>
      <c r="E41" t="inlineStr">
        <is>
          <t>TJÖRN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23301-2025</t>
        </is>
      </c>
      <c r="B42" s="1" t="n">
        <v>45791</v>
      </c>
      <c r="C42" s="1" t="n">
        <v>46191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23294-2025</t>
        </is>
      </c>
      <c r="B43" s="1" t="n">
        <v>45791</v>
      </c>
      <c r="C43" s="1" t="n">
        <v>46191</v>
      </c>
      <c r="D43" t="inlineStr">
        <is>
          <t>VÄSTRA GÖTALANDS LÄN</t>
        </is>
      </c>
      <c r="E43" t="inlineStr">
        <is>
          <t>TJÖRN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23295-2025</t>
        </is>
      </c>
      <c r="B44" s="1" t="n">
        <v>45791</v>
      </c>
      <c r="C44" s="1" t="n">
        <v>46191</v>
      </c>
      <c r="D44" t="inlineStr">
        <is>
          <t>VÄSTRA GÖTALANDS LÄN</t>
        </is>
      </c>
      <c r="E44" t="inlineStr">
        <is>
          <t>TJÖRN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1103-2025</t>
        </is>
      </c>
      <c r="B45" s="1" t="n">
        <v>45666</v>
      </c>
      <c r="C45" s="1" t="n">
        <v>46191</v>
      </c>
      <c r="D45" t="inlineStr">
        <is>
          <t>VÄSTRA GÖTALANDS LÄN</t>
        </is>
      </c>
      <c r="E45" t="inlineStr">
        <is>
          <t>TJÖRN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34394-2025</t>
        </is>
      </c>
      <c r="B46" s="1" t="n">
        <v>45846</v>
      </c>
      <c r="C46" s="1" t="n">
        <v>46191</v>
      </c>
      <c r="D46" t="inlineStr">
        <is>
          <t>VÄSTRA GÖTALANDS LÄN</t>
        </is>
      </c>
      <c r="E46" t="inlineStr">
        <is>
          <t>TJÖRN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32577-2025</t>
        </is>
      </c>
      <c r="B47" s="1" t="n">
        <v>45838</v>
      </c>
      <c r="C47" s="1" t="n">
        <v>46191</v>
      </c>
      <c r="D47" t="inlineStr">
        <is>
          <t>VÄSTRA GÖTALANDS LÄN</t>
        </is>
      </c>
      <c r="E47" t="inlineStr">
        <is>
          <t>TJÖRN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34508-2025</t>
        </is>
      </c>
      <c r="B48" s="1" t="n">
        <v>45847</v>
      </c>
      <c r="C48" s="1" t="n">
        <v>46191</v>
      </c>
      <c r="D48" t="inlineStr">
        <is>
          <t>VÄSTRA GÖTALANDS LÄN</t>
        </is>
      </c>
      <c r="E48" t="inlineStr">
        <is>
          <t>TJÖRN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7791-2023</t>
        </is>
      </c>
      <c r="B49" s="1" t="n">
        <v>44973</v>
      </c>
      <c r="C49" s="1" t="n">
        <v>46191</v>
      </c>
      <c r="D49" t="inlineStr">
        <is>
          <t>VÄSTRA GÖTALANDS LÄN</t>
        </is>
      </c>
      <c r="E49" t="inlineStr">
        <is>
          <t>TJÖRN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2026-06-18T13:21:32Z</dcterms:created>
  <dcterms:modified xmlns:dcterms="http://purl.org/dc/terms/" xmlns:xsi="http://www.w3.org/2001/XMLSchema-instance" xsi:type="dcterms:W3CDTF">2026-06-18T13:21:32Z</dcterms:modified>
</cp:coreProperties>
</file>