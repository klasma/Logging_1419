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46275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46275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46275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34591-2022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44795</v>
      </c>
      <c r="E5" s="1" t="n">
        <v>46275</v>
      </c>
      <c r="F5" t="inlineStr">
        <is>
          <t>VÄSTRA GÖTALANDS LÄN</t>
        </is>
      </c>
      <c r="G5" t="inlineStr">
        <is>
          <t>TJÖRN</t>
        </is>
      </c>
      <c r="I5" t="n">
        <v>2.5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Blågrönt mannagräs</t>
        </is>
      </c>
      <c r="W5">
        <f>HYPERLINK("https://klasma.github.io/Logging_1419/artfynd/A 34591-2022 artfynd.xlsx", "A 34591-2022")</f>
        <v/>
      </c>
      <c r="X5">
        <f>HYPERLINK("https://klasma.github.io/Logging_1419/kartor/A 34591-2022 karta.png", "A 34591-2022")</f>
        <v/>
      </c>
      <c r="Y5">
        <f>HYPERLINK("https://klasma.github.io/Logging_1419/kartor_geotiff/A 34591-2022 georefererad karta.tif", "A 34591-2022")</f>
        <v/>
      </c>
      <c r="AA5">
        <f>HYPERLINK("https://klasma.github.io/Logging_1419/klagomål/A 34591-2022 FSC-klagomål.docx", "A 34591-2022")</f>
        <v/>
      </c>
      <c r="AB5">
        <f>HYPERLINK("https://klasma.github.io/Logging_1419/klagomålsmail/A 34591-2022 FSC-klagomål mail.docx", "A 34591-2022")</f>
        <v/>
      </c>
      <c r="AC5">
        <f>HYPERLINK("https://klasma.github.io/Logging_1419/tillsyn/A 34591-2022 tillsynsbegäran.docx", "A 34591-2022")</f>
        <v/>
      </c>
      <c r="AD5">
        <f>HYPERLINK("https://klasma.github.io/Logging_1419/tillsynsmail/A 34591-2022 tillsynsbegäran mail.docx", "A 34591-2022")</f>
        <v/>
      </c>
    </row>
    <row r="6" ht="15" customHeight="1">
      <c r="A6" t="inlineStr">
        <is>
          <t>A 889-2026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46029</v>
      </c>
      <c r="E6" s="1" t="n">
        <v>46275</v>
      </c>
      <c r="F6" t="inlineStr">
        <is>
          <t>VÄSTRA GÖTALANDS LÄN</t>
        </is>
      </c>
      <c r="G6" t="inlineStr">
        <is>
          <t>TJÖRN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0</v>
      </c>
      <c r="V6" s="2" t="inlineStr">
        <is>
          <t>Äkta lopplummer</t>
        </is>
      </c>
      <c r="W6">
        <f>HYPERLINK("https://klasma.github.io/Logging_1419/artfynd/A 889-2026 artfynd.xlsx", "A 889-2026")</f>
        <v/>
      </c>
      <c r="X6">
        <f>HYPERLINK("https://klasma.github.io/Logging_1419/kartor/A 889-2026 karta.png", "A 889-2026")</f>
        <v/>
      </c>
      <c r="Y6">
        <f>HYPERLINK("https://klasma.github.io/Logging_1419/kartor_geotiff/A 889-2026 georefererad karta.tif", "A 889-2026")</f>
        <v/>
      </c>
      <c r="AA6">
        <f>HYPERLINK("https://klasma.github.io/Logging_1419/klagomål/A 889-2026 FSC-klagomål.docx", "A 889-2026")</f>
        <v/>
      </c>
      <c r="AB6">
        <f>HYPERLINK("https://klasma.github.io/Logging_1419/klagomålsmail/A 889-2026 FSC-klagomål mail.docx", "A 889-2026")</f>
        <v/>
      </c>
      <c r="AC6">
        <f>HYPERLINK("https://klasma.github.io/Logging_1419/tillsyn/A 889-2026 tillsynsbegäran.docx", "A 889-2026")</f>
        <v/>
      </c>
      <c r="AD6">
        <f>HYPERLINK("https://klasma.github.io/Logging_1419/tillsynsmail/A 889-2026 tillsynsbegäran mail.docx", "A 889-2026")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46275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HYPERLINK("https://klasma.github.io/Logging_1419/artfynd/A 10354-2026 artfynd.xlsx", "A 10354-2026")</f>
        <v/>
      </c>
      <c r="X7">
        <f>HYPERLINK("https://klasma.github.io/Logging_1419/kartor/A 10354-2026 karta.png", "A 10354-2026")</f>
        <v/>
      </c>
      <c r="Y7">
        <f>HYPERLINK("https://klasma.github.io/Logging_1419/kartor_geotiff/A 10354-2026 georefererad karta.tif", "A 10354-2026")</f>
        <v/>
      </c>
      <c r="AA7">
        <f>HYPERLINK("https://klasma.github.io/Logging_1419/klagomål/A 10354-2026 FSC-klagomål.docx", "A 10354-2026")</f>
        <v/>
      </c>
      <c r="AB7">
        <f>HYPERLINK("https://klasma.github.io/Logging_1419/klagomålsmail/A 10354-2026 FSC-klagomål mail.docx", "A 10354-2026")</f>
        <v/>
      </c>
      <c r="AC7">
        <f>HYPERLINK("https://klasma.github.io/Logging_1419/tillsyn/A 10354-2026 tillsynsbegäran.docx", "A 10354-2026")</f>
        <v/>
      </c>
      <c r="AD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46275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HYPERLINK("https://klasma.github.io/Logging_1419/artfynd/A 11250-2026 artfynd.xlsx", "A 11250-2026")</f>
        <v/>
      </c>
      <c r="X8">
        <f>HYPERLINK("https://klasma.github.io/Logging_1419/kartor/A 11250-2026 karta.png", "A 11250-2026")</f>
        <v/>
      </c>
      <c r="Y8">
        <f>HYPERLINK("https://klasma.github.io/Logging_1419/kartor_geotiff/A 11250-2026 georefererad karta.tif", "A 11250-2026")</f>
        <v/>
      </c>
      <c r="AA8">
        <f>HYPERLINK("https://klasma.github.io/Logging_1419/klagomål/A 11250-2026 FSC-klagomål.docx", "A 11250-2026")</f>
        <v/>
      </c>
      <c r="AB8">
        <f>HYPERLINK("https://klasma.github.io/Logging_1419/klagomålsmail/A 11250-2026 FSC-klagomål mail.docx", "A 11250-2026")</f>
        <v/>
      </c>
      <c r="AC8">
        <f>HYPERLINK("https://klasma.github.io/Logging_1419/tillsyn/A 11250-2026 tillsynsbegäran.docx", "A 11250-2026")</f>
        <v/>
      </c>
      <c r="AD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46275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Strutbräken</t>
        </is>
      </c>
      <c r="W9">
        <f>HYPERLINK("https://klasma.github.io/Logging_1419/artfynd/A 11240-2026 artfynd.xlsx", "A 11240-2026")</f>
        <v/>
      </c>
      <c r="X9">
        <f>HYPERLINK("https://klasma.github.io/Logging_1419/kartor/A 11240-2026 karta.png", "A 11240-2026")</f>
        <v/>
      </c>
      <c r="Y9">
        <f>HYPERLINK("https://klasma.github.io/Logging_1419/kartor_geotiff/A 11240-2026 georefererad karta.tif", "A 11240-2026")</f>
        <v/>
      </c>
      <c r="AA9">
        <f>HYPERLINK("https://klasma.github.io/Logging_1419/klagomål/A 11240-2026 FSC-klagomål.docx", "A 11240-2026")</f>
        <v/>
      </c>
      <c r="AB9">
        <f>HYPERLINK("https://klasma.github.io/Logging_1419/klagomålsmail/A 11240-2026 FSC-klagomål mail.docx", "A 11240-2026")</f>
        <v/>
      </c>
      <c r="AC9">
        <f>HYPERLINK("https://klasma.github.io/Logging_1419/tillsyn/A 11240-2026 tillsynsbegäran.docx", "A 11240-2026")</f>
        <v/>
      </c>
      <c r="AD9">
        <f>HYPERLINK("https://klasma.github.io/Logging_1419/tillsynsmail/A 11240-2026 tillsynsbegäran mail.docx", "A 11240-2026")</f>
        <v/>
      </c>
    </row>
    <row r="10" ht="15" customHeight="1">
      <c r="A10" t="inlineStr">
        <is>
          <t>A 1486-2023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44937</v>
      </c>
      <c r="E10" s="1" t="n">
        <v>46275</v>
      </c>
      <c r="F10" t="inlineStr">
        <is>
          <t>VÄSTRA GÖTALANDS LÄN</t>
        </is>
      </c>
      <c r="G10" t="inlineStr">
        <is>
          <t>TJÖRN</t>
        </is>
      </c>
      <c r="I10" t="n">
        <v>0.2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59192-2022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44896</v>
      </c>
      <c r="E11" s="1" t="n">
        <v>46275</v>
      </c>
      <c r="F11" t="inlineStr">
        <is>
          <t>VÄSTRA GÖTALANDS LÄN</t>
        </is>
      </c>
      <c r="G11" t="inlineStr">
        <is>
          <t>TJÖRN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60717-2022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44912</v>
      </c>
      <c r="E12" s="1" t="n">
        <v>46275</v>
      </c>
      <c r="F12" t="inlineStr">
        <is>
          <t>VÄSTRA GÖTALANDS LÄN</t>
        </is>
      </c>
      <c r="G12" t="inlineStr">
        <is>
          <t>TJÖRN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60718-2022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44912</v>
      </c>
      <c r="E13" s="1" t="n">
        <v>46275</v>
      </c>
      <c r="F13" t="inlineStr">
        <is>
          <t>VÄSTRA GÖTALANDS LÄN</t>
        </is>
      </c>
      <c r="G13" t="inlineStr">
        <is>
          <t>TJÖRN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57410-2022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44896</v>
      </c>
      <c r="E14" s="1" t="n">
        <v>46275</v>
      </c>
      <c r="F14" t="inlineStr">
        <is>
          <t>VÄSTRA GÖTALANDS LÄN</t>
        </is>
      </c>
      <c r="G14" t="inlineStr">
        <is>
          <t>TJÖRN</t>
        </is>
      </c>
      <c r="I14" t="n">
        <v>7.5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7791-2023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44973</v>
      </c>
      <c r="E15" s="1" t="n">
        <v>46275</v>
      </c>
      <c r="F15" t="inlineStr">
        <is>
          <t>VÄSTRA GÖTALANDS LÄN</t>
        </is>
      </c>
      <c r="G15" t="inlineStr">
        <is>
          <t>TJÖRN</t>
        </is>
      </c>
      <c r="I15" t="n">
        <v>3.1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21379-2023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45063</v>
      </c>
      <c r="E16" s="1" t="n">
        <v>46275</v>
      </c>
      <c r="F16" t="inlineStr">
        <is>
          <t>VÄSTRA GÖTALANDS LÄN</t>
        </is>
      </c>
      <c r="G16" t="inlineStr">
        <is>
          <t>TJÖRN</t>
        </is>
      </c>
      <c r="I16" t="n">
        <v>5.8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7787-2023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44973</v>
      </c>
      <c r="E17" s="1" t="n">
        <v>46275</v>
      </c>
      <c r="F17" t="inlineStr">
        <is>
          <t>VÄSTRA GÖTALANDS LÄN</t>
        </is>
      </c>
      <c r="G17" t="inlineStr">
        <is>
          <t>TJÖRN</t>
        </is>
      </c>
      <c r="I17" t="n">
        <v>5.7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23301-2025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45791</v>
      </c>
      <c r="E18" s="1" t="n">
        <v>46275</v>
      </c>
      <c r="F18" t="inlineStr">
        <is>
          <t>VÄSTRA GÖTALANDS LÄN</t>
        </is>
      </c>
      <c r="G18" t="inlineStr">
        <is>
          <t>TJÖRN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23294-2025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46275</v>
      </c>
      <c r="F19" t="inlineStr">
        <is>
          <t>VÄSTRA GÖTALANDS LÄN</t>
        </is>
      </c>
      <c r="G19" t="inlineStr">
        <is>
          <t>TJÖRN</t>
        </is>
      </c>
      <c r="I19" t="n">
        <v>4.6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1103-2025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45666</v>
      </c>
      <c r="E20" s="1" t="n">
        <v>46275</v>
      </c>
      <c r="F20" t="inlineStr">
        <is>
          <t>VÄSTRA GÖTALANDS LÄN</t>
        </is>
      </c>
      <c r="G20" t="inlineStr">
        <is>
          <t>TJÖRN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42462-2025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45905</v>
      </c>
      <c r="E21" s="1" t="n">
        <v>46275</v>
      </c>
      <c r="F21" t="inlineStr">
        <is>
          <t>VÄSTRA GÖTALANDS LÄN</t>
        </is>
      </c>
      <c r="G21" t="inlineStr">
        <is>
          <t>TJÖRN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34394-2025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45846</v>
      </c>
      <c r="E22" s="1" t="n">
        <v>46275</v>
      </c>
      <c r="F22" t="inlineStr">
        <is>
          <t>VÄSTRA GÖTALANDS LÄN</t>
        </is>
      </c>
      <c r="G22" t="inlineStr">
        <is>
          <t>TJÖRN</t>
        </is>
      </c>
      <c r="I22" t="n">
        <v>3.9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32577-2025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45838</v>
      </c>
      <c r="E23" s="1" t="n">
        <v>46275</v>
      </c>
      <c r="F23" t="inlineStr">
        <is>
          <t>VÄSTRA GÖTALANDS LÄN</t>
        </is>
      </c>
      <c r="G23" t="inlineStr">
        <is>
          <t>TJÖRN</t>
        </is>
      </c>
      <c r="I23" t="n">
        <v>5.3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34508-2025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45847</v>
      </c>
      <c r="E24" s="1" t="n">
        <v>46275</v>
      </c>
      <c r="F24" t="inlineStr">
        <is>
          <t>VÄSTRA GÖTALANDS LÄN</t>
        </is>
      </c>
      <c r="G24" t="inlineStr">
        <is>
          <t>TJÖRN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45167-2025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45919</v>
      </c>
      <c r="E25" s="1" t="n">
        <v>46275</v>
      </c>
      <c r="F25" t="inlineStr">
        <is>
          <t>VÄSTRA GÖTALANDS LÄN</t>
        </is>
      </c>
      <c r="G25" t="inlineStr">
        <is>
          <t>TJÖRN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45158-2025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45919</v>
      </c>
      <c r="E26" s="1" t="n">
        <v>46275</v>
      </c>
      <c r="F26" t="inlineStr">
        <is>
          <t>VÄSTRA GÖTALANDS LÄN</t>
        </is>
      </c>
      <c r="G26" t="inlineStr">
        <is>
          <t>TJÖRN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45088-2025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45919</v>
      </c>
      <c r="E27" s="1" t="n">
        <v>46275</v>
      </c>
      <c r="F27" t="inlineStr">
        <is>
          <t>VÄSTRA GÖTALANDS LÄN</t>
        </is>
      </c>
      <c r="G27" t="inlineStr">
        <is>
          <t>TJÖRN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60793-2023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45260</v>
      </c>
      <c r="E28" s="1" t="n">
        <v>46275</v>
      </c>
      <c r="F28" t="inlineStr">
        <is>
          <t>VÄSTRA GÖTALANDS LÄN</t>
        </is>
      </c>
      <c r="G28" t="inlineStr">
        <is>
          <t>TJÖRN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1379-2024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45303</v>
      </c>
      <c r="E29" s="1" t="n">
        <v>46275</v>
      </c>
      <c r="F29" t="inlineStr">
        <is>
          <t>VÄSTRA GÖTALANDS LÄN</t>
        </is>
      </c>
      <c r="G29" t="inlineStr">
        <is>
          <t>TJÖRN</t>
        </is>
      </c>
      <c r="H29" t="inlineStr">
        <is>
          <t>Kommuner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57955-2024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45631</v>
      </c>
      <c r="E30" s="1" t="n">
        <v>46275</v>
      </c>
      <c r="F30" t="inlineStr">
        <is>
          <t>VÄSTRA GÖTALANDS LÄN</t>
        </is>
      </c>
      <c r="G30" t="inlineStr">
        <is>
          <t>TJÖRN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57000-2025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45977</v>
      </c>
      <c r="E31" s="1" t="n">
        <v>46275</v>
      </c>
      <c r="F31" t="inlineStr">
        <is>
          <t>VÄSTRA GÖTALANDS LÄN</t>
        </is>
      </c>
      <c r="G31" t="inlineStr">
        <is>
          <t>TJÖRN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57655-2025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45981</v>
      </c>
      <c r="E32" s="1" t="n">
        <v>46275</v>
      </c>
      <c r="F32" t="inlineStr">
        <is>
          <t>VÄSTRA GÖTALANDS LÄN</t>
        </is>
      </c>
      <c r="G32" t="inlineStr">
        <is>
          <t>TJÖRN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46036</v>
      </c>
      <c r="E33" s="1" t="n">
        <v>46275</v>
      </c>
      <c r="F33" t="inlineStr">
        <is>
          <t>VÄSTRA GÖTALANDS LÄN</t>
        </is>
      </c>
      <c r="G33" t="inlineStr">
        <is>
          <t>TJÖRN</t>
        </is>
      </c>
      <c r="I33" t="n">
        <v>2.6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2434-2026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46036</v>
      </c>
      <c r="E34" s="1" t="n">
        <v>46275</v>
      </c>
      <c r="F34" t="inlineStr">
        <is>
          <t>VÄSTRA GÖTALANDS LÄN</t>
        </is>
      </c>
      <c r="G34" t="inlineStr">
        <is>
          <t>TJÖRN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10340-2026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46075</v>
      </c>
      <c r="E35" s="1" t="n">
        <v>46275</v>
      </c>
      <c r="F35" t="inlineStr">
        <is>
          <t>VÄSTRA GÖTALANDS LÄN</t>
        </is>
      </c>
      <c r="G35" t="inlineStr">
        <is>
          <t>TJÖRN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11000-2026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46079</v>
      </c>
      <c r="E36" s="1" t="n">
        <v>46275</v>
      </c>
      <c r="F36" t="inlineStr">
        <is>
          <t>VÄSTRA GÖTALANDS LÄN</t>
        </is>
      </c>
      <c r="G36" t="inlineStr">
        <is>
          <t>TJÖRN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11042-2026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46079</v>
      </c>
      <c r="E37" s="1" t="n">
        <v>46275</v>
      </c>
      <c r="F37" t="inlineStr">
        <is>
          <t>VÄSTRA GÖTALANDS LÄN</t>
        </is>
      </c>
      <c r="G37" t="inlineStr">
        <is>
          <t>TJÖRN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18290-2026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46126</v>
      </c>
      <c r="E38" s="1" t="n">
        <v>46275</v>
      </c>
      <c r="F38" t="inlineStr">
        <is>
          <t>VÄSTRA GÖTALANDS LÄN</t>
        </is>
      </c>
      <c r="G38" t="inlineStr">
        <is>
          <t>TJÖRN</t>
        </is>
      </c>
      <c r="I38" t="n">
        <v>4.7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22419-2026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46154</v>
      </c>
      <c r="E39" s="1" t="n">
        <v>46275</v>
      </c>
      <c r="F39" t="inlineStr">
        <is>
          <t>VÄSTRA GÖTALANDS LÄN</t>
        </is>
      </c>
      <c r="G39" t="inlineStr">
        <is>
          <t>TJÖRN</t>
        </is>
      </c>
      <c r="I39" t="n">
        <v>7.3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33335-2026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46246</v>
      </c>
      <c r="E40" s="1" t="n">
        <v>46275</v>
      </c>
      <c r="F40" t="inlineStr">
        <is>
          <t>VÄSTRA GÖTALANDS LÄN</t>
        </is>
      </c>
      <c r="G40" t="inlineStr">
        <is>
          <t>TJÖRN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33757-2026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46251</v>
      </c>
      <c r="E41" s="1" t="n">
        <v>46275</v>
      </c>
      <c r="F41" t="inlineStr">
        <is>
          <t>VÄSTRA GÖTALANDS LÄN</t>
        </is>
      </c>
      <c r="G41" t="inlineStr">
        <is>
          <t>TJÖRN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34198-2026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46253</v>
      </c>
      <c r="E42" s="1" t="n">
        <v>46275</v>
      </c>
      <c r="F42" t="inlineStr">
        <is>
          <t>VÄSTRA GÖTALANDS LÄN</t>
        </is>
      </c>
      <c r="G42" t="inlineStr">
        <is>
          <t>TJÖRN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21141-2023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45062</v>
      </c>
      <c r="E43" s="1" t="n">
        <v>46275</v>
      </c>
      <c r="F43" t="inlineStr">
        <is>
          <t>VÄSTRA GÖTALANDS LÄN</t>
        </is>
      </c>
      <c r="G43" t="inlineStr">
        <is>
          <t>TJÖRN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23295-2025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45791</v>
      </c>
      <c r="E44" s="1" t="n">
        <v>46275</v>
      </c>
      <c r="F44" t="inlineStr">
        <is>
          <t>VÄSTRA GÖTALANDS LÄN</t>
        </is>
      </c>
      <c r="G44" t="inlineStr">
        <is>
          <t>TJÖRN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60392-2022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44910</v>
      </c>
      <c r="E45" s="1" t="n">
        <v>46275</v>
      </c>
      <c r="F45" t="inlineStr">
        <is>
          <t>VÄSTRA GÖTALANDS LÄN</t>
        </is>
      </c>
      <c r="G45" t="inlineStr">
        <is>
          <t>TJÖRN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A 59011-2025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45987</v>
      </c>
      <c r="E46" s="1" t="n">
        <v>46275</v>
      </c>
      <c r="F46" t="inlineStr">
        <is>
          <t>VÄSTRA GÖTALANDS LÄN</t>
        </is>
      </c>
      <c r="G46" t="inlineStr">
        <is>
          <t>TJÖRN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2026-09-10T02:14:36Z</dcterms:created>
  <dcterms:modified xmlns:dcterms="http://purl.org/dc/terms/" xmlns:xsi="http://www.w3.org/2001/XMLSchema-instance" xsi:type="dcterms:W3CDTF">2026-09-10T02:14:36Z</dcterms:modified>
</cp:coreProperties>
</file>