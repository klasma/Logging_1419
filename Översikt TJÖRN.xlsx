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46317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46317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46317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46317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46317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46317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34591-2022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44795</v>
      </c>
      <c r="E8" s="1" t="n">
        <v>46317</v>
      </c>
      <c r="F8" t="inlineStr">
        <is>
          <t>VÄSTRA GÖTALANDS LÄN</t>
        </is>
      </c>
      <c r="G8" t="inlineStr">
        <is>
          <t>TJÖRN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Blågrönt mannagräs</t>
        </is>
      </c>
      <c r="W8">
        <f>HYPERLINK("https://klasma.github.io/Logging_1419/artfynd/A 34591-2022 artfynd.xlsx", "A 34591-2022")</f>
        <v/>
      </c>
      <c r="X8">
        <f>HYPERLINK("https://klasma.github.io/Logging_1419/kartor/A 34591-2022 karta.png", "A 34591-2022")</f>
        <v/>
      </c>
      <c r="Y8">
        <f>HYPERLINK("https://klasma.github.io/Logging_1419/kartor_geotiff/A 34591-2022 georefererad karta.tif", "A 34591-2022")</f>
        <v/>
      </c>
      <c r="AA8">
        <f>HYPERLINK("https://klasma.github.io/Logging_1419/klagomål/A 34591-2022 FSC-klagomål.docx", "A 34591-2022")</f>
        <v/>
      </c>
      <c r="AB8">
        <f>HYPERLINK("https://klasma.github.io/Logging_1419/klagomålsmail/A 34591-2022 FSC-klagomål mail.docx", "A 34591-2022")</f>
        <v/>
      </c>
      <c r="AC8">
        <f>HYPERLINK("https://klasma.github.io/Logging_1419/tillsyn/A 34591-2022 tillsynsbegäran.docx", "A 34591-2022")</f>
        <v/>
      </c>
      <c r="AD8">
        <f>HYPERLINK("https://klasma.github.io/Logging_1419/tillsynsmail/A 34591-2022 tillsynsbegäran mail.docx", "A 34591-2022")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46317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46317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46317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46317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46317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46317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46317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45088-2025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46317</v>
      </c>
      <c r="F16" t="inlineStr">
        <is>
          <t>VÄSTRA GÖTALANDS LÄN</t>
        </is>
      </c>
      <c r="G16" t="inlineStr">
        <is>
          <t>TJÖRN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1103-2025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46317</v>
      </c>
      <c r="F17" t="inlineStr">
        <is>
          <t>VÄSTRA GÖTALANDS LÄN</t>
        </is>
      </c>
      <c r="G17" t="inlineStr">
        <is>
          <t>TJÖRN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44896</v>
      </c>
      <c r="E18" s="1" t="n">
        <v>46317</v>
      </c>
      <c r="F18" t="inlineStr">
        <is>
          <t>VÄSTRA GÖTALANDS LÄN</t>
        </is>
      </c>
      <c r="G18" t="inlineStr">
        <is>
          <t>TJÖRN</t>
        </is>
      </c>
      <c r="I18" t="n">
        <v>7.5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46317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21379-2023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46317</v>
      </c>
      <c r="F20" t="inlineStr">
        <is>
          <t>VÄSTRA GÖTALANDS LÄN</t>
        </is>
      </c>
      <c r="G20" t="inlineStr">
        <is>
          <t>TJÖRN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46036</v>
      </c>
      <c r="E21" s="1" t="n">
        <v>46317</v>
      </c>
      <c r="F21" t="inlineStr">
        <is>
          <t>VÄSTRA GÖTALANDS LÄN</t>
        </is>
      </c>
      <c r="G21" t="inlineStr">
        <is>
          <t>TJÖRN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2434-2026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46036</v>
      </c>
      <c r="E22" s="1" t="n">
        <v>46317</v>
      </c>
      <c r="F22" t="inlineStr">
        <is>
          <t>VÄSTRA GÖTALANDS LÄN</t>
        </is>
      </c>
      <c r="G22" t="inlineStr">
        <is>
          <t>TJÖRN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46317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46317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46317</v>
      </c>
      <c r="F25" t="inlineStr">
        <is>
          <t>VÄSTRA GÖTALANDS LÄN</t>
        </is>
      </c>
      <c r="G25" t="inlineStr">
        <is>
          <t>TJÖRN</t>
        </is>
      </c>
      <c r="I25" t="n">
        <v>5.7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46075</v>
      </c>
      <c r="E26" s="1" t="n">
        <v>46317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18290-2026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46317</v>
      </c>
      <c r="F27" t="inlineStr">
        <is>
          <t>VÄSTRA GÖTALANDS LÄN</t>
        </is>
      </c>
      <c r="G27" t="inlineStr">
        <is>
          <t>TJÖRN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46317</v>
      </c>
      <c r="F28" t="inlineStr">
        <is>
          <t>VÄSTRA GÖTALANDS LÄN</t>
        </is>
      </c>
      <c r="G28" t="inlineStr">
        <is>
          <t>TJÖRN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22419-2026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46154</v>
      </c>
      <c r="E29" s="1" t="n">
        <v>46317</v>
      </c>
      <c r="F29" t="inlineStr">
        <is>
          <t>VÄSTRA GÖTALANDS LÄN</t>
        </is>
      </c>
      <c r="G29" t="inlineStr">
        <is>
          <t>TJÖRN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45260</v>
      </c>
      <c r="E30" s="1" t="n">
        <v>46317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57955-2024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45631</v>
      </c>
      <c r="E31" s="1" t="n">
        <v>46317</v>
      </c>
      <c r="F31" t="inlineStr">
        <is>
          <t>VÄSTRA GÖTALANDS LÄN</t>
        </is>
      </c>
      <c r="G31" t="inlineStr">
        <is>
          <t>TJÖRN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45062</v>
      </c>
      <c r="E32" s="1" t="n">
        <v>46317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46317</v>
      </c>
      <c r="F33" t="inlineStr">
        <is>
          <t>VÄSTRA GÖTALANDS LÄN</t>
        </is>
      </c>
      <c r="G33" t="inlineStr">
        <is>
          <t>TJÖRN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46317</v>
      </c>
      <c r="F34" t="inlineStr">
        <is>
          <t>VÄSTRA GÖTALANDS LÄN</t>
        </is>
      </c>
      <c r="G34" t="inlineStr">
        <is>
          <t>TJÖRN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37470-2026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46275</v>
      </c>
      <c r="E35" s="1" t="n">
        <v>46317</v>
      </c>
      <c r="F35" t="inlineStr">
        <is>
          <t>VÄSTRA GÖTALANDS LÄN</t>
        </is>
      </c>
      <c r="G35" t="inlineStr">
        <is>
          <t>TJÖRN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46275</v>
      </c>
      <c r="E36" s="1" t="n">
        <v>46317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37741-2026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46279</v>
      </c>
      <c r="E37" s="1" t="n">
        <v>46317</v>
      </c>
      <c r="F37" t="inlineStr">
        <is>
          <t>VÄSTRA GÖTALANDS LÄN</t>
        </is>
      </c>
      <c r="G37" t="inlineStr">
        <is>
          <t>TJÖRN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59192-2022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46317</v>
      </c>
      <c r="F38" t="inlineStr">
        <is>
          <t>VÄSTRA GÖTALANDS LÄN</t>
        </is>
      </c>
      <c r="G38" t="inlineStr">
        <is>
          <t>TJÖRN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60717-2022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44912</v>
      </c>
      <c r="E39" s="1" t="n">
        <v>46317</v>
      </c>
      <c r="F39" t="inlineStr">
        <is>
          <t>VÄSTRA GÖTALANDS LÄN</t>
        </is>
      </c>
      <c r="G39" t="inlineStr">
        <is>
          <t>TJÖRN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46317</v>
      </c>
      <c r="F40" t="inlineStr">
        <is>
          <t>VÄSTRA GÖTALANDS LÄN</t>
        </is>
      </c>
      <c r="G40" t="inlineStr">
        <is>
          <t>TJÖRN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46283</v>
      </c>
      <c r="E41" s="1" t="n">
        <v>46317</v>
      </c>
      <c r="F41" t="inlineStr">
        <is>
          <t>VÄSTRA GÖTALANDS LÄN</t>
        </is>
      </c>
      <c r="G41" t="inlineStr">
        <is>
          <t>TJÖRN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46317</v>
      </c>
      <c r="F42" t="inlineStr">
        <is>
          <t>VÄSTRA GÖTALANDS LÄN</t>
        </is>
      </c>
      <c r="G42" t="inlineStr">
        <is>
          <t>TJÖRN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46246</v>
      </c>
      <c r="E43" s="1" t="n">
        <v>46317</v>
      </c>
      <c r="F43" t="inlineStr">
        <is>
          <t>VÄSTRA GÖTALANDS LÄN</t>
        </is>
      </c>
      <c r="G43" t="inlineStr">
        <is>
          <t>TJÖRN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46317</v>
      </c>
      <c r="F44" t="inlineStr">
        <is>
          <t>VÄSTRA GÖTALANDS LÄN</t>
        </is>
      </c>
      <c r="G44" t="inlineStr">
        <is>
          <t>TJÖRN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46317</v>
      </c>
      <c r="F45" t="inlineStr">
        <is>
          <t>VÄSTRA GÖTALANDS LÄN</t>
        </is>
      </c>
      <c r="G45" t="inlineStr">
        <is>
          <t>TJÖRN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46317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46303</v>
      </c>
      <c r="E47" s="1" t="n">
        <v>46317</v>
      </c>
      <c r="F47" t="inlineStr">
        <is>
          <t>VÄSTRA GÖTALANDS LÄN</t>
        </is>
      </c>
      <c r="G47" t="inlineStr">
        <is>
          <t>TJÖRN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45987</v>
      </c>
      <c r="E48" s="1" t="n">
        <v>46317</v>
      </c>
      <c r="F48" t="inlineStr">
        <is>
          <t>VÄSTRA GÖTALANDS LÄN</t>
        </is>
      </c>
      <c r="G48" t="inlineStr">
        <is>
          <t>TJÖRN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41052-2026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46300</v>
      </c>
      <c r="E49" s="1" t="n">
        <v>46317</v>
      </c>
      <c r="F49" t="inlineStr">
        <is>
          <t>VÄSTRA GÖTALANDS LÄN</t>
        </is>
      </c>
      <c r="G49" t="inlineStr">
        <is>
          <t>TJÖRN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11042-2026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46079</v>
      </c>
      <c r="E50" s="1" t="n">
        <v>46317</v>
      </c>
      <c r="F50" t="inlineStr">
        <is>
          <t>VÄSTRA GÖTALANDS LÄN</t>
        </is>
      </c>
      <c r="G50" t="inlineStr">
        <is>
          <t>TJÖRN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2026-10-22T01:55:19Z</dcterms:created>
  <dcterms:modified xmlns:dcterms="http://purl.org/dc/terms/" xmlns:xsi="http://www.w3.org/2001/XMLSchema-instance" xsi:type="dcterms:W3CDTF">2026-10-22T01:55:19Z</dcterms:modified>
</cp:coreProperties>
</file>